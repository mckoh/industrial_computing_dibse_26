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haelkohlegger/Documents/GitHub/industrial_computing_dibse_26/demo/"/>
    </mc:Choice>
  </mc:AlternateContent>
  <xr:revisionPtr revIDLastSave="0" documentId="8_{38826DAB-17F4-F84A-B338-43FB903001E7}" xr6:coauthVersionLast="47" xr6:coauthVersionMax="47" xr10:uidLastSave="{00000000-0000-0000-0000-000000000000}"/>
  <bookViews>
    <workbookView xWindow="0" yWindow="780" windowWidth="36000" windowHeight="21540" activeTab="1" xr2:uid="{0E348D80-D45C-684A-BAA9-647846705477}"/>
  </bookViews>
  <sheets>
    <sheet name="Data" sheetId="3" r:id="rId1"/>
    <sheet name="Training" sheetId="1" r:id="rId2"/>
  </sheets>
  <definedNames>
    <definedName name="coffee_count">Data!$C$4</definedName>
    <definedName name="exam_result">Data!$C$5</definedName>
    <definedName name="learn_hours">Data!$C$2</definedName>
    <definedName name="learning_rate">Data!$C$6</definedName>
    <definedName name="sleep_hours">Data!$C$3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" i="1" l="1"/>
  <c r="G3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E2" i="1"/>
  <c r="H2" i="1" s="1"/>
  <c r="K2" i="1" s="1"/>
  <c r="C3" i="1" s="1"/>
  <c r="G4" i="1"/>
  <c r="G5" i="1"/>
  <c r="G6" i="1"/>
  <c r="G7" i="1"/>
  <c r="G8" i="1"/>
  <c r="G9" i="1"/>
  <c r="G10" i="1"/>
  <c r="G11" i="1"/>
  <c r="G12" i="1"/>
  <c r="G3" i="1"/>
  <c r="G2" i="1"/>
  <c r="L2" i="1" l="1"/>
  <c r="D3" i="1" s="1"/>
  <c r="I2" i="1"/>
  <c r="J2" i="1"/>
  <c r="B3" i="1" s="1"/>
  <c r="E3" i="1" s="1"/>
  <c r="F3" i="1" s="1"/>
  <c r="H3" i="1" l="1"/>
  <c r="L3" i="1" s="1"/>
  <c r="D4" i="1" s="1"/>
  <c r="J3" i="1" l="1"/>
  <c r="B4" i="1" s="1"/>
  <c r="I3" i="1"/>
  <c r="K3" i="1"/>
  <c r="C4" i="1" s="1"/>
  <c r="E4" i="1" l="1"/>
  <c r="F4" i="1" s="1"/>
  <c r="H4" i="1" l="1"/>
  <c r="L4" i="1"/>
  <c r="D5" i="1" s="1"/>
  <c r="I4" i="1"/>
  <c r="K4" i="1"/>
  <c r="C5" i="1" s="1"/>
  <c r="J4" i="1"/>
  <c r="B5" i="1" s="1"/>
  <c r="E5" i="1" l="1"/>
  <c r="F5" i="1" s="1"/>
  <c r="H5" i="1" l="1"/>
  <c r="L5" i="1" l="1"/>
  <c r="D6" i="1" s="1"/>
  <c r="J5" i="1"/>
  <c r="B6" i="1" s="1"/>
  <c r="E6" i="1" s="1"/>
  <c r="F6" i="1" s="1"/>
  <c r="K5" i="1"/>
  <c r="C6" i="1" s="1"/>
  <c r="I5" i="1"/>
  <c r="H6" i="1" l="1"/>
  <c r="L6" i="1" l="1"/>
  <c r="D7" i="1" s="1"/>
  <c r="J6" i="1"/>
  <c r="B7" i="1" s="1"/>
  <c r="K6" i="1"/>
  <c r="C7" i="1" s="1"/>
  <c r="I6" i="1"/>
  <c r="E7" i="1" l="1"/>
  <c r="F7" i="1" s="1"/>
  <c r="H7" i="1"/>
  <c r="L7" i="1" l="1"/>
  <c r="D8" i="1" s="1"/>
  <c r="K7" i="1"/>
  <c r="C8" i="1" s="1"/>
  <c r="I7" i="1"/>
  <c r="J7" i="1"/>
  <c r="B8" i="1" s="1"/>
  <c r="E8" i="1" l="1"/>
  <c r="F8" i="1" s="1"/>
  <c r="H8" i="1"/>
  <c r="L8" i="1" l="1"/>
  <c r="D9" i="1" s="1"/>
  <c r="I8" i="1"/>
  <c r="J8" i="1"/>
  <c r="B9" i="1" s="1"/>
  <c r="K8" i="1"/>
  <c r="C9" i="1" s="1"/>
  <c r="E9" i="1" l="1"/>
  <c r="F9" i="1" s="1"/>
  <c r="H9" i="1" l="1"/>
  <c r="L9" i="1" l="1"/>
  <c r="D10" i="1" s="1"/>
  <c r="J9" i="1"/>
  <c r="B10" i="1" s="1"/>
  <c r="I9" i="1"/>
  <c r="K9" i="1"/>
  <c r="C10" i="1" s="1"/>
  <c r="E10" i="1" l="1"/>
  <c r="F10" i="1" s="1"/>
  <c r="H10" i="1" l="1"/>
  <c r="L10" i="1" l="1"/>
  <c r="D11" i="1" s="1"/>
  <c r="J10" i="1"/>
  <c r="B11" i="1" s="1"/>
  <c r="I10" i="1"/>
  <c r="K10" i="1"/>
  <c r="C11" i="1" s="1"/>
  <c r="E11" i="1" l="1"/>
  <c r="F11" i="1" s="1"/>
  <c r="H11" i="1" l="1"/>
  <c r="L11" i="1" l="1"/>
  <c r="D12" i="1" s="1"/>
  <c r="J11" i="1"/>
  <c r="B12" i="1" s="1"/>
  <c r="I11" i="1"/>
  <c r="K11" i="1"/>
  <c r="C12" i="1" s="1"/>
  <c r="E12" i="1" l="1"/>
  <c r="F12" i="1" s="1"/>
  <c r="H12" i="1" l="1"/>
  <c r="L12" i="1" l="1"/>
  <c r="D13" i="1" s="1"/>
  <c r="K12" i="1"/>
  <c r="C13" i="1" s="1"/>
  <c r="I12" i="1"/>
  <c r="J12" i="1"/>
  <c r="B13" i="1" s="1"/>
  <c r="E13" i="1" l="1"/>
  <c r="F13" i="1" s="1"/>
  <c r="H13" i="1" l="1"/>
  <c r="I13" i="1" l="1"/>
  <c r="J13" i="1"/>
  <c r="B14" i="1" s="1"/>
  <c r="K13" i="1"/>
  <c r="C14" i="1" s="1"/>
  <c r="L13" i="1"/>
  <c r="D14" i="1" s="1"/>
  <c r="E14" i="1" l="1"/>
  <c r="F14" i="1" s="1"/>
  <c r="H14" i="1" l="1"/>
  <c r="I14" i="1" l="1"/>
  <c r="K14" i="1"/>
  <c r="C15" i="1" s="1"/>
  <c r="L14" i="1"/>
  <c r="D15" i="1" s="1"/>
  <c r="J14" i="1"/>
  <c r="B15" i="1" s="1"/>
  <c r="E15" i="1" s="1"/>
  <c r="F15" i="1" s="1"/>
  <c r="H15" i="1" l="1"/>
  <c r="K15" i="1" l="1"/>
  <c r="C16" i="1" s="1"/>
  <c r="I15" i="1"/>
  <c r="J15" i="1"/>
  <c r="B16" i="1" s="1"/>
  <c r="L15" i="1"/>
  <c r="D16" i="1" s="1"/>
  <c r="E16" i="1" l="1"/>
  <c r="F16" i="1" s="1"/>
  <c r="H16" i="1" l="1"/>
  <c r="I16" i="1" l="1"/>
  <c r="J16" i="1"/>
  <c r="B17" i="1" s="1"/>
  <c r="K16" i="1"/>
  <c r="C17" i="1" s="1"/>
  <c r="L16" i="1"/>
  <c r="D17" i="1" s="1"/>
  <c r="E17" i="1" l="1"/>
  <c r="F17" i="1" s="1"/>
  <c r="H17" i="1" l="1"/>
  <c r="K17" i="1" l="1"/>
  <c r="C18" i="1" s="1"/>
  <c r="I17" i="1"/>
  <c r="J17" i="1"/>
  <c r="B18" i="1" s="1"/>
  <c r="L17" i="1"/>
  <c r="D18" i="1" s="1"/>
  <c r="E18" i="1" l="1"/>
  <c r="F18" i="1" s="1"/>
  <c r="H18" i="1" l="1"/>
  <c r="L18" i="1"/>
  <c r="D19" i="1" s="1"/>
  <c r="J18" i="1"/>
  <c r="B19" i="1" s="1"/>
  <c r="I18" i="1"/>
  <c r="K18" i="1"/>
  <c r="C19" i="1" s="1"/>
  <c r="E19" i="1" l="1"/>
  <c r="F19" i="1" s="1"/>
  <c r="H19" i="1" l="1"/>
  <c r="I19" i="1" l="1"/>
  <c r="J19" i="1"/>
  <c r="B20" i="1" s="1"/>
  <c r="K19" i="1"/>
  <c r="C20" i="1" s="1"/>
  <c r="L19" i="1"/>
  <c r="D20" i="1" s="1"/>
  <c r="E20" i="1" l="1"/>
  <c r="F20" i="1" s="1"/>
  <c r="H20" i="1" l="1"/>
  <c r="I20" i="1" l="1"/>
  <c r="J20" i="1"/>
  <c r="B21" i="1" s="1"/>
  <c r="L20" i="1"/>
  <c r="D21" i="1" s="1"/>
  <c r="K20" i="1"/>
  <c r="C21" i="1" s="1"/>
  <c r="E21" i="1" l="1"/>
  <c r="F21" i="1" s="1"/>
  <c r="H21" i="1" l="1"/>
  <c r="K21" i="1" l="1"/>
  <c r="C22" i="1" s="1"/>
  <c r="L21" i="1"/>
  <c r="D22" i="1" s="1"/>
  <c r="J21" i="1"/>
  <c r="B22" i="1" s="1"/>
  <c r="E22" i="1" s="1"/>
  <c r="F22" i="1" s="1"/>
  <c r="I21" i="1"/>
  <c r="H22" i="1" l="1"/>
  <c r="J22" i="1" l="1"/>
  <c r="B23" i="1" s="1"/>
  <c r="L22" i="1"/>
  <c r="D23" i="1" s="1"/>
  <c r="I22" i="1"/>
  <c r="K22" i="1"/>
  <c r="C23" i="1" s="1"/>
  <c r="E23" i="1" l="1"/>
  <c r="F23" i="1" s="1"/>
  <c r="H23" i="1" l="1"/>
  <c r="J23" i="1" l="1"/>
  <c r="B24" i="1" s="1"/>
  <c r="I23" i="1"/>
  <c r="K23" i="1"/>
  <c r="C24" i="1" s="1"/>
  <c r="L23" i="1"/>
  <c r="D24" i="1" s="1"/>
  <c r="E24" i="1" l="1"/>
  <c r="F24" i="1" s="1"/>
  <c r="H24" i="1" l="1"/>
  <c r="I24" i="1" l="1"/>
  <c r="L24" i="1"/>
  <c r="D25" i="1" s="1"/>
  <c r="K24" i="1"/>
  <c r="C25" i="1" s="1"/>
  <c r="J24" i="1"/>
  <c r="B25" i="1" s="1"/>
  <c r="E25" i="1" s="1"/>
  <c r="F25" i="1" s="1"/>
  <c r="H25" i="1" l="1"/>
  <c r="I25" i="1" l="1"/>
  <c r="J25" i="1"/>
  <c r="B26" i="1" s="1"/>
  <c r="K25" i="1"/>
  <c r="C26" i="1" s="1"/>
  <c r="L25" i="1"/>
  <c r="D26" i="1" s="1"/>
  <c r="E26" i="1" l="1"/>
  <c r="F26" i="1" s="1"/>
  <c r="H26" i="1" l="1"/>
  <c r="L26" i="1" l="1"/>
  <c r="D27" i="1" s="1"/>
  <c r="I26" i="1"/>
  <c r="K26" i="1"/>
  <c r="C27" i="1" s="1"/>
  <c r="J26" i="1"/>
  <c r="B27" i="1" s="1"/>
  <c r="E27" i="1" l="1"/>
  <c r="F27" i="1" s="1"/>
  <c r="H27" i="1" l="1"/>
  <c r="J27" i="1" l="1"/>
  <c r="B28" i="1" s="1"/>
  <c r="K27" i="1"/>
  <c r="C28" i="1" s="1"/>
  <c r="I27" i="1"/>
  <c r="L27" i="1"/>
  <c r="D28" i="1" s="1"/>
  <c r="E28" i="1" l="1"/>
  <c r="F28" i="1" s="1"/>
  <c r="H28" i="1" l="1"/>
  <c r="I28" i="1"/>
  <c r="J28" i="1"/>
  <c r="B29" i="1" s="1"/>
  <c r="L28" i="1"/>
  <c r="D29" i="1" s="1"/>
  <c r="K28" i="1"/>
  <c r="C29" i="1" s="1"/>
  <c r="E29" i="1" l="1"/>
  <c r="F29" i="1" s="1"/>
  <c r="H29" i="1" l="1"/>
  <c r="K29" i="1" l="1"/>
  <c r="C30" i="1" s="1"/>
  <c r="L29" i="1"/>
  <c r="D30" i="1" s="1"/>
  <c r="J29" i="1"/>
  <c r="B30" i="1" s="1"/>
  <c r="E30" i="1" s="1"/>
  <c r="F30" i="1" s="1"/>
  <c r="I29" i="1"/>
  <c r="H30" i="1" l="1"/>
  <c r="I30" i="1" l="1"/>
  <c r="K30" i="1"/>
  <c r="C31" i="1" s="1"/>
  <c r="L30" i="1"/>
  <c r="D31" i="1" s="1"/>
  <c r="J30" i="1"/>
  <c r="B31" i="1" s="1"/>
  <c r="E31" i="1" s="1"/>
  <c r="F31" i="1" s="1"/>
  <c r="H31" i="1" l="1"/>
  <c r="L31" i="1" l="1"/>
  <c r="D32" i="1" s="1"/>
  <c r="I31" i="1"/>
  <c r="J31" i="1"/>
  <c r="B32" i="1" s="1"/>
  <c r="K31" i="1"/>
  <c r="C32" i="1" s="1"/>
  <c r="E32" i="1" l="1"/>
  <c r="F32" i="1" s="1"/>
  <c r="H32" i="1" l="1"/>
  <c r="I32" i="1" l="1"/>
  <c r="J32" i="1"/>
  <c r="K32" i="1"/>
  <c r="L32" i="1"/>
</calcChain>
</file>

<file path=xl/sharedStrings.xml><?xml version="1.0" encoding="utf-8"?>
<sst xmlns="http://schemas.openxmlformats.org/spreadsheetml/2006/main" count="25" uniqueCount="23">
  <si>
    <t>iteration</t>
  </si>
  <si>
    <t>Value</t>
  </si>
  <si>
    <t>Key</t>
  </si>
  <si>
    <t>sleep hours</t>
  </si>
  <si>
    <t>exam result</t>
  </si>
  <si>
    <t>learn hours</t>
  </si>
  <si>
    <t>Type</t>
  </si>
  <si>
    <t>input</t>
  </si>
  <si>
    <t>target</t>
  </si>
  <si>
    <t>weigth_learning</t>
  </si>
  <si>
    <t>weight_sleeping</t>
  </si>
  <si>
    <t>prediction</t>
  </si>
  <si>
    <t>actual</t>
  </si>
  <si>
    <t>delta</t>
  </si>
  <si>
    <t>error</t>
  </si>
  <si>
    <t>gradient_learning</t>
  </si>
  <si>
    <t>gradient_sleeping</t>
  </si>
  <si>
    <t>hyper</t>
  </si>
  <si>
    <t>learning rate</t>
  </si>
  <si>
    <t>coffee count</t>
  </si>
  <si>
    <t>weight_coffee</t>
  </si>
  <si>
    <t>gradient_coffee</t>
  </si>
  <si>
    <t>activation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</si>
</sst>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Training!$I$1</c:f>
              <c:strCache>
                <c:ptCount val="1"/>
                <c:pt idx="0">
                  <c:v>error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Training!$I$2:$I$32</c:f>
              <c:numCache>
                <c:formatCode>0.000</c:formatCode>
                <c:ptCount val="31"/>
                <c:pt idx="0">
                  <c:v>22320.36</c:v>
                </c:pt>
                <c:pt idx="1">
                  <c:v>16126.460100000002</c:v>
                </c:pt>
                <c:pt idx="2">
                  <c:v>11651.367422250001</c:v>
                </c:pt>
                <c:pt idx="3">
                  <c:v>8418.1129625756221</c:v>
                </c:pt>
                <c:pt idx="4">
                  <c:v>6082.0866154608848</c:v>
                </c:pt>
                <c:pt idx="5">
                  <c:v>4394.3075796704916</c:v>
                </c:pt>
                <c:pt idx="6">
                  <c:v>3174.887226311931</c:v>
                </c:pt>
                <c:pt idx="7">
                  <c:v>2293.856021010371</c:v>
                </c:pt>
                <c:pt idx="8">
                  <c:v>1657.3109751799939</c:v>
                </c:pt>
                <c:pt idx="9">
                  <c:v>1197.4071795675452</c:v>
                </c:pt>
                <c:pt idx="10">
                  <c:v>865.12668723755132</c:v>
                </c:pt>
                <c:pt idx="11">
                  <c:v>625.05403152913073</c:v>
                </c:pt>
                <c:pt idx="12">
                  <c:v>451.60153777979724</c:v>
                </c:pt>
                <c:pt idx="13">
                  <c:v>326.28211104590366</c:v>
                </c:pt>
                <c:pt idx="14">
                  <c:v>235.73882523066561</c:v>
                </c:pt>
                <c:pt idx="15">
                  <c:v>170.32130122915612</c:v>
                </c:pt>
                <c:pt idx="16">
                  <c:v>123.05714013806538</c:v>
                </c:pt>
                <c:pt idx="17">
                  <c:v>88.90878374975226</c:v>
                </c:pt>
                <c:pt idx="18">
                  <c:v>64.236596259196148</c:v>
                </c:pt>
                <c:pt idx="19">
                  <c:v>46.410940797269333</c:v>
                </c:pt>
                <c:pt idx="20">
                  <c:v>33.531904726027193</c:v>
                </c:pt>
                <c:pt idx="21">
                  <c:v>24.22680116455459</c:v>
                </c:pt>
                <c:pt idx="22">
                  <c:v>17.503863841390643</c:v>
                </c:pt>
                <c:pt idx="23">
                  <c:v>12.646541625404719</c:v>
                </c:pt>
                <c:pt idx="24">
                  <c:v>9.137126324354897</c:v>
                </c:pt>
                <c:pt idx="25">
                  <c:v>6.601573769346424</c:v>
                </c:pt>
                <c:pt idx="26">
                  <c:v>4.7696370483528163</c:v>
                </c:pt>
                <c:pt idx="27">
                  <c:v>3.4460627674349622</c:v>
                </c:pt>
                <c:pt idx="28">
                  <c:v>2.4897803494717512</c:v>
                </c:pt>
                <c:pt idx="29">
                  <c:v>1.7988663024933365</c:v>
                </c:pt>
                <c:pt idx="30">
                  <c:v>1.2996809035514325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7E3-1A43-BC81-6603F27E35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6322047"/>
        <c:axId val="1296322495"/>
      </c:scatterChart>
      <c:valAx>
        <c:axId val="1296322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96322495"/>
        <c:crosses val="autoZero"/>
        <c:crossBetween val="midCat"/>
      </c:valAx>
      <c:valAx>
        <c:axId val="1296322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96322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85166</xdr:colOff>
      <xdr:row>1</xdr:row>
      <xdr:rowOff>70866</xdr:rowOff>
    </xdr:from>
    <xdr:to>
      <xdr:col>19</xdr:col>
      <xdr:colOff>293188</xdr:colOff>
      <xdr:row>17</xdr:row>
      <xdr:rowOff>256228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F529B0E-391D-8D18-5883-0AD9155394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611CA-3FB3-4D4F-8431-20AD158290A9}">
  <dimension ref="A1:C6"/>
  <sheetViews>
    <sheetView zoomScale="354" workbookViewId="0">
      <selection activeCell="C7" sqref="C7"/>
    </sheetView>
  </sheetViews>
  <sheetFormatPr baseColWidth="10" defaultRowHeight="21" customHeight="1" x14ac:dyDescent="0.2"/>
  <cols>
    <col min="1" max="1" width="10.83203125" style="1"/>
    <col min="2" max="2" width="14" style="1" customWidth="1"/>
    <col min="3" max="16384" width="10.83203125" style="1"/>
  </cols>
  <sheetData>
    <row r="1" spans="1:3" ht="21" customHeight="1" x14ac:dyDescent="0.2">
      <c r="A1" s="1" t="s">
        <v>6</v>
      </c>
      <c r="B1" s="1" t="s">
        <v>2</v>
      </c>
      <c r="C1" s="1" t="s">
        <v>1</v>
      </c>
    </row>
    <row r="2" spans="1:3" ht="21" customHeight="1" x14ac:dyDescent="0.2">
      <c r="A2" s="1" t="s">
        <v>7</v>
      </c>
      <c r="B2" s="1" t="s">
        <v>5</v>
      </c>
      <c r="C2" s="1">
        <v>12</v>
      </c>
    </row>
    <row r="3" spans="1:3" ht="21" customHeight="1" x14ac:dyDescent="0.2">
      <c r="A3" s="1" t="s">
        <v>7</v>
      </c>
      <c r="B3" s="1" t="s">
        <v>3</v>
      </c>
      <c r="C3" s="1">
        <v>4</v>
      </c>
    </row>
    <row r="4" spans="1:3" ht="21" customHeight="1" x14ac:dyDescent="0.2">
      <c r="A4" s="1" t="s">
        <v>7</v>
      </c>
      <c r="B4" s="1" t="s">
        <v>19</v>
      </c>
      <c r="C4" s="1">
        <v>5</v>
      </c>
    </row>
    <row r="5" spans="1:3" ht="21" customHeight="1" x14ac:dyDescent="0.2">
      <c r="A5" s="1" t="s">
        <v>8</v>
      </c>
      <c r="B5" s="1" t="s">
        <v>4</v>
      </c>
      <c r="C5" s="1">
        <v>90</v>
      </c>
    </row>
    <row r="6" spans="1:3" ht="21" customHeight="1" x14ac:dyDescent="0.2">
      <c r="A6" s="1" t="s">
        <v>17</v>
      </c>
      <c r="B6" s="1" t="s">
        <v>18</v>
      </c>
      <c r="C6" s="1">
        <v>0.01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7AFB8-565A-B04B-ABBF-7B262BBD8476}">
  <dimension ref="A1:L32"/>
  <sheetViews>
    <sheetView tabSelected="1" zoomScale="114" workbookViewId="0">
      <selection activeCell="F25" sqref="F25"/>
    </sheetView>
  </sheetViews>
  <sheetFormatPr baseColWidth="10" defaultRowHeight="21" customHeight="1" x14ac:dyDescent="0.2"/>
  <cols>
    <col min="1" max="1" width="10.83203125" style="1"/>
    <col min="2" max="4" width="18.5" style="1" customWidth="1"/>
    <col min="5" max="9" width="10.83203125" style="1"/>
    <col min="10" max="12" width="19.6640625" style="1" customWidth="1"/>
    <col min="13" max="16384" width="10.83203125" style="1"/>
  </cols>
  <sheetData>
    <row r="1" spans="1:12" ht="21" customHeight="1" x14ac:dyDescent="0.2">
      <c r="A1" s="1" t="s">
        <v>0</v>
      </c>
      <c r="B1" s="1" t="s">
        <v>9</v>
      </c>
      <c r="C1" s="1" t="s">
        <v>10</v>
      </c>
      <c r="D1" s="1" t="s">
        <v>20</v>
      </c>
      <c r="E1" s="1" t="s">
        <v>11</v>
      </c>
      <c r="F1" s="1" t="s">
        <v>22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  <c r="L1" s="1" t="s">
        <v>21</v>
      </c>
    </row>
    <row r="2" spans="1:12" ht="21" customHeight="1" x14ac:dyDescent="0.2">
      <c r="A2" s="1">
        <v>0</v>
      </c>
      <c r="B2" s="3">
        <v>-5</v>
      </c>
      <c r="C2" s="3">
        <v>-0.6</v>
      </c>
      <c r="D2" s="3">
        <v>0.6</v>
      </c>
      <c r="E2" s="2">
        <f t="shared" ref="E2:E32" si="0">B2*learn_hours+C2*sleep_hours+D2*coffee_count</f>
        <v>-59.4</v>
      </c>
      <c r="F2" s="2">
        <f>MAX(E2,0)</f>
        <v>0</v>
      </c>
      <c r="G2" s="1">
        <f t="shared" ref="G2:G32" si="1">exam_result</f>
        <v>90</v>
      </c>
      <c r="H2" s="2">
        <f>E2-G2</f>
        <v>-149.4</v>
      </c>
      <c r="I2" s="2">
        <f>H2^2</f>
        <v>22320.36</v>
      </c>
      <c r="J2" s="2">
        <f t="shared" ref="J2:J32" si="2">H2*learn_hours*learning_rate</f>
        <v>-17.928000000000001</v>
      </c>
      <c r="K2" s="2">
        <f t="shared" ref="K2:K32" si="3">H2*sleep_hours*learning_rate</f>
        <v>-5.976</v>
      </c>
      <c r="L2" s="2">
        <f t="shared" ref="L2:L32" si="4">H2*coffee_count*learning_rate</f>
        <v>-7.47</v>
      </c>
    </row>
    <row r="3" spans="1:12" ht="21" customHeight="1" x14ac:dyDescent="0.2">
      <c r="A3" s="1">
        <v>1</v>
      </c>
      <c r="B3" s="2">
        <f>B2-J2</f>
        <v>12.928000000000001</v>
      </c>
      <c r="C3" s="2">
        <f>C2-K2</f>
        <v>5.3760000000000003</v>
      </c>
      <c r="D3" s="2">
        <f>D2-L2</f>
        <v>8.07</v>
      </c>
      <c r="E3" s="2">
        <f t="shared" si="0"/>
        <v>216.99</v>
      </c>
      <c r="F3" s="2">
        <f t="shared" ref="F3:F32" si="5">MAX(E3,0)</f>
        <v>216.99</v>
      </c>
      <c r="G3" s="1">
        <f t="shared" si="1"/>
        <v>90</v>
      </c>
      <c r="H3" s="2">
        <f>E3-G3</f>
        <v>126.99000000000001</v>
      </c>
      <c r="I3" s="2">
        <f>H3^2</f>
        <v>16126.460100000002</v>
      </c>
      <c r="J3" s="2">
        <f t="shared" si="2"/>
        <v>15.238800000000001</v>
      </c>
      <c r="K3" s="2">
        <f t="shared" si="3"/>
        <v>5.0796000000000001</v>
      </c>
      <c r="L3" s="2">
        <f t="shared" si="4"/>
        <v>6.3495000000000008</v>
      </c>
    </row>
    <row r="4" spans="1:12" ht="21" customHeight="1" x14ac:dyDescent="0.2">
      <c r="A4" s="1">
        <v>2</v>
      </c>
      <c r="B4" s="2">
        <f t="shared" ref="B4:B12" si="6">B3-J3</f>
        <v>-2.3108000000000004</v>
      </c>
      <c r="C4" s="2">
        <f t="shared" ref="C4:C12" si="7">C3-K3</f>
        <v>0.29640000000000022</v>
      </c>
      <c r="D4" s="2">
        <f t="shared" ref="D4:D12" si="8">D3-L3</f>
        <v>1.7204999999999995</v>
      </c>
      <c r="E4" s="2">
        <f t="shared" si="0"/>
        <v>-17.941500000000005</v>
      </c>
      <c r="F4" s="2">
        <f t="shared" si="5"/>
        <v>0</v>
      </c>
      <c r="G4" s="1">
        <f t="shared" si="1"/>
        <v>90</v>
      </c>
      <c r="H4" s="2">
        <f t="shared" ref="H4:H12" si="9">E4-G4</f>
        <v>-107.9415</v>
      </c>
      <c r="I4" s="2">
        <f t="shared" ref="I4:I32" si="10">H4^2</f>
        <v>11651.367422250001</v>
      </c>
      <c r="J4" s="2">
        <f t="shared" si="2"/>
        <v>-12.95298</v>
      </c>
      <c r="K4" s="2">
        <f t="shared" si="3"/>
        <v>-4.3176600000000001</v>
      </c>
      <c r="L4" s="2">
        <f t="shared" si="4"/>
        <v>-5.3970750000000001</v>
      </c>
    </row>
    <row r="5" spans="1:12" ht="21" customHeight="1" x14ac:dyDescent="0.2">
      <c r="A5" s="1">
        <v>3</v>
      </c>
      <c r="B5" s="2">
        <f t="shared" si="6"/>
        <v>10.64218</v>
      </c>
      <c r="C5" s="2">
        <f t="shared" si="7"/>
        <v>4.6140600000000003</v>
      </c>
      <c r="D5" s="2">
        <f t="shared" si="8"/>
        <v>7.1175749999999995</v>
      </c>
      <c r="E5" s="2">
        <f t="shared" si="0"/>
        <v>181.75027499999999</v>
      </c>
      <c r="F5" s="2">
        <f t="shared" si="5"/>
        <v>181.75027499999999</v>
      </c>
      <c r="G5" s="1">
        <f t="shared" si="1"/>
        <v>90</v>
      </c>
      <c r="H5" s="2">
        <f t="shared" si="9"/>
        <v>91.750274999999988</v>
      </c>
      <c r="I5" s="2">
        <f t="shared" si="10"/>
        <v>8418.1129625756221</v>
      </c>
      <c r="J5" s="2">
        <f t="shared" si="2"/>
        <v>11.010032999999998</v>
      </c>
      <c r="K5" s="2">
        <f t="shared" si="3"/>
        <v>3.6700109999999997</v>
      </c>
      <c r="L5" s="2">
        <f t="shared" si="4"/>
        <v>4.5875137499999994</v>
      </c>
    </row>
    <row r="6" spans="1:12" ht="21" customHeight="1" x14ac:dyDescent="0.2">
      <c r="A6" s="1">
        <v>4</v>
      </c>
      <c r="B6" s="2">
        <f t="shared" si="6"/>
        <v>-0.36785299999999843</v>
      </c>
      <c r="C6" s="2">
        <f t="shared" si="7"/>
        <v>0.94404900000000058</v>
      </c>
      <c r="D6" s="2">
        <f t="shared" si="8"/>
        <v>2.5300612500000002</v>
      </c>
      <c r="E6" s="2">
        <f t="shared" si="0"/>
        <v>12.012266250000021</v>
      </c>
      <c r="F6" s="2">
        <f t="shared" si="5"/>
        <v>12.012266250000021</v>
      </c>
      <c r="G6" s="1">
        <f t="shared" si="1"/>
        <v>90</v>
      </c>
      <c r="H6" s="2">
        <f t="shared" si="9"/>
        <v>-77.987733749999975</v>
      </c>
      <c r="I6" s="2">
        <f t="shared" si="10"/>
        <v>6082.0866154608848</v>
      </c>
      <c r="J6" s="2">
        <f t="shared" si="2"/>
        <v>-9.3585280499999985</v>
      </c>
      <c r="K6" s="2">
        <f t="shared" si="3"/>
        <v>-3.1195093499999991</v>
      </c>
      <c r="L6" s="2">
        <f t="shared" si="4"/>
        <v>-3.8993866874999985</v>
      </c>
    </row>
    <row r="7" spans="1:12" ht="21" customHeight="1" x14ac:dyDescent="0.2">
      <c r="A7" s="1">
        <v>5</v>
      </c>
      <c r="B7" s="2">
        <f t="shared" si="6"/>
        <v>8.9906750500000001</v>
      </c>
      <c r="C7" s="2">
        <f t="shared" si="7"/>
        <v>4.0635583499999992</v>
      </c>
      <c r="D7" s="2">
        <f t="shared" si="8"/>
        <v>6.4294479374999991</v>
      </c>
      <c r="E7" s="2">
        <f t="shared" si="0"/>
        <v>156.2895736875</v>
      </c>
      <c r="F7" s="2">
        <f t="shared" si="5"/>
        <v>156.2895736875</v>
      </c>
      <c r="G7" s="1">
        <f t="shared" si="1"/>
        <v>90</v>
      </c>
      <c r="H7" s="2">
        <f t="shared" si="9"/>
        <v>66.289573687499995</v>
      </c>
      <c r="I7" s="2">
        <f t="shared" si="10"/>
        <v>4394.3075796704916</v>
      </c>
      <c r="J7" s="2">
        <f t="shared" si="2"/>
        <v>7.9547488424999999</v>
      </c>
      <c r="K7" s="2">
        <f t="shared" si="3"/>
        <v>2.6515829474999997</v>
      </c>
      <c r="L7" s="2">
        <f t="shared" si="4"/>
        <v>3.314478684375</v>
      </c>
    </row>
    <row r="8" spans="1:12" ht="21" customHeight="1" x14ac:dyDescent="0.2">
      <c r="A8" s="1">
        <v>6</v>
      </c>
      <c r="B8" s="2">
        <f t="shared" si="6"/>
        <v>1.0359262075000002</v>
      </c>
      <c r="C8" s="2">
        <f t="shared" si="7"/>
        <v>1.4119754024999995</v>
      </c>
      <c r="D8" s="2">
        <f t="shared" si="8"/>
        <v>3.1149692531249991</v>
      </c>
      <c r="E8" s="2">
        <f t="shared" si="0"/>
        <v>33.653862365624995</v>
      </c>
      <c r="F8" s="2">
        <f t="shared" si="5"/>
        <v>33.653862365624995</v>
      </c>
      <c r="G8" s="1">
        <f t="shared" si="1"/>
        <v>90</v>
      </c>
      <c r="H8" s="2">
        <f t="shared" si="9"/>
        <v>-56.346137634375005</v>
      </c>
      <c r="I8" s="2">
        <f t="shared" si="10"/>
        <v>3174.887226311931</v>
      </c>
      <c r="J8" s="2">
        <f t="shared" si="2"/>
        <v>-6.761536516125001</v>
      </c>
      <c r="K8" s="2">
        <f t="shared" si="3"/>
        <v>-2.2538455053750002</v>
      </c>
      <c r="L8" s="2">
        <f t="shared" si="4"/>
        <v>-2.8173068817187503</v>
      </c>
    </row>
    <row r="9" spans="1:12" ht="21" customHeight="1" x14ac:dyDescent="0.2">
      <c r="A9" s="1">
        <v>7</v>
      </c>
      <c r="B9" s="2">
        <f t="shared" si="6"/>
        <v>7.7974627236250011</v>
      </c>
      <c r="C9" s="2">
        <f t="shared" si="7"/>
        <v>3.6658209078749997</v>
      </c>
      <c r="D9" s="2">
        <f t="shared" si="8"/>
        <v>5.9322761348437494</v>
      </c>
      <c r="E9" s="2">
        <f t="shared" si="0"/>
        <v>137.89421698921876</v>
      </c>
      <c r="F9" s="2">
        <f t="shared" si="5"/>
        <v>137.89421698921876</v>
      </c>
      <c r="G9" s="1">
        <f t="shared" si="1"/>
        <v>90</v>
      </c>
      <c r="H9" s="2">
        <f t="shared" si="9"/>
        <v>47.894216989218762</v>
      </c>
      <c r="I9" s="2">
        <f t="shared" si="10"/>
        <v>2293.856021010371</v>
      </c>
      <c r="J9" s="2">
        <f t="shared" si="2"/>
        <v>5.7473060387062516</v>
      </c>
      <c r="K9" s="2">
        <f t="shared" si="3"/>
        <v>1.9157686795687505</v>
      </c>
      <c r="L9" s="2">
        <f t="shared" si="4"/>
        <v>2.3947108494609384</v>
      </c>
    </row>
    <row r="10" spans="1:12" ht="21" customHeight="1" x14ac:dyDescent="0.2">
      <c r="A10" s="1">
        <v>8</v>
      </c>
      <c r="B10" s="2">
        <f t="shared" si="6"/>
        <v>2.0501566849187496</v>
      </c>
      <c r="C10" s="2">
        <f t="shared" si="7"/>
        <v>1.7500522283062492</v>
      </c>
      <c r="D10" s="2">
        <f t="shared" si="8"/>
        <v>3.537565285382811</v>
      </c>
      <c r="E10" s="2">
        <f t="shared" si="0"/>
        <v>49.289915559164044</v>
      </c>
      <c r="F10" s="2">
        <f t="shared" si="5"/>
        <v>49.289915559164044</v>
      </c>
      <c r="G10" s="1">
        <f t="shared" si="1"/>
        <v>90</v>
      </c>
      <c r="H10" s="2">
        <f t="shared" si="9"/>
        <v>-40.710084440835956</v>
      </c>
      <c r="I10" s="2">
        <f t="shared" si="10"/>
        <v>1657.3109751799939</v>
      </c>
      <c r="J10" s="2">
        <f t="shared" si="2"/>
        <v>-4.8852101329003146</v>
      </c>
      <c r="K10" s="2">
        <f t="shared" si="3"/>
        <v>-1.6284033776334383</v>
      </c>
      <c r="L10" s="2">
        <f t="shared" si="4"/>
        <v>-2.0355042220417978</v>
      </c>
    </row>
    <row r="11" spans="1:12" ht="21" customHeight="1" x14ac:dyDescent="0.2">
      <c r="A11" s="1">
        <v>9</v>
      </c>
      <c r="B11" s="2">
        <f t="shared" si="6"/>
        <v>6.9353668178190642</v>
      </c>
      <c r="C11" s="2">
        <f t="shared" si="7"/>
        <v>3.3784556059396875</v>
      </c>
      <c r="D11" s="2">
        <f t="shared" si="8"/>
        <v>5.5730695074246093</v>
      </c>
      <c r="E11" s="2">
        <f t="shared" si="0"/>
        <v>124.60357177471056</v>
      </c>
      <c r="F11" s="2">
        <f t="shared" si="5"/>
        <v>124.60357177471056</v>
      </c>
      <c r="G11" s="1">
        <f t="shared" si="1"/>
        <v>90</v>
      </c>
      <c r="H11" s="2">
        <f t="shared" si="9"/>
        <v>34.603571774710559</v>
      </c>
      <c r="I11" s="2">
        <f t="shared" si="10"/>
        <v>1197.4071795675452</v>
      </c>
      <c r="J11" s="2">
        <f t="shared" si="2"/>
        <v>4.1524286129652674</v>
      </c>
      <c r="K11" s="2">
        <f t="shared" si="3"/>
        <v>1.3841428709884225</v>
      </c>
      <c r="L11" s="2">
        <f t="shared" si="4"/>
        <v>1.7301785887355281</v>
      </c>
    </row>
    <row r="12" spans="1:12" ht="21" customHeight="1" x14ac:dyDescent="0.2">
      <c r="A12" s="1">
        <v>10</v>
      </c>
      <c r="B12" s="2">
        <f t="shared" si="6"/>
        <v>2.7829382048537967</v>
      </c>
      <c r="C12" s="2">
        <f t="shared" si="7"/>
        <v>1.994312734951265</v>
      </c>
      <c r="D12" s="2">
        <f t="shared" si="8"/>
        <v>3.8428909186890809</v>
      </c>
      <c r="E12" s="2">
        <f t="shared" si="0"/>
        <v>60.586963991496027</v>
      </c>
      <c r="F12" s="2">
        <f t="shared" si="5"/>
        <v>60.586963991496027</v>
      </c>
      <c r="G12" s="1">
        <f t="shared" si="1"/>
        <v>90</v>
      </c>
      <c r="H12" s="2">
        <f t="shared" si="9"/>
        <v>-29.413036008503973</v>
      </c>
      <c r="I12" s="2">
        <f t="shared" si="10"/>
        <v>865.12668723755132</v>
      </c>
      <c r="J12" s="2">
        <f t="shared" si="2"/>
        <v>-3.5295643210204766</v>
      </c>
      <c r="K12" s="2">
        <f t="shared" si="3"/>
        <v>-1.1765214403401589</v>
      </c>
      <c r="L12" s="2">
        <f t="shared" si="4"/>
        <v>-1.4706518004251987</v>
      </c>
    </row>
    <row r="13" spans="1:12" ht="21" customHeight="1" x14ac:dyDescent="0.2">
      <c r="A13" s="1">
        <v>11</v>
      </c>
      <c r="B13" s="2">
        <f t="shared" ref="B13:B32" si="11">B12-J12</f>
        <v>6.3125025258742733</v>
      </c>
      <c r="C13" s="2">
        <f t="shared" ref="C13:C32" si="12">C12-K12</f>
        <v>3.1708341752914242</v>
      </c>
      <c r="D13" s="2">
        <f t="shared" ref="D13:D32" si="13">D12-L12</f>
        <v>5.3135427191142792</v>
      </c>
      <c r="E13" s="2">
        <f t="shared" si="0"/>
        <v>115.00108060722837</v>
      </c>
      <c r="F13" s="2">
        <f t="shared" si="5"/>
        <v>115.00108060722837</v>
      </c>
      <c r="G13" s="1">
        <f t="shared" si="1"/>
        <v>90</v>
      </c>
      <c r="H13" s="2">
        <f t="shared" ref="H13:H32" si="14">E13-G13</f>
        <v>25.001080607228374</v>
      </c>
      <c r="I13" s="2">
        <f t="shared" si="10"/>
        <v>625.05403152913073</v>
      </c>
      <c r="J13" s="2">
        <f t="shared" si="2"/>
        <v>3.0001296728674052</v>
      </c>
      <c r="K13" s="2">
        <f t="shared" si="3"/>
        <v>1.0000432242891351</v>
      </c>
      <c r="L13" s="2">
        <f t="shared" si="4"/>
        <v>1.2500540303614187</v>
      </c>
    </row>
    <row r="14" spans="1:12" ht="21" customHeight="1" x14ac:dyDescent="0.2">
      <c r="A14" s="1">
        <v>12</v>
      </c>
      <c r="B14" s="2">
        <f t="shared" si="11"/>
        <v>3.3123728530068681</v>
      </c>
      <c r="C14" s="2">
        <f t="shared" si="12"/>
        <v>2.1707909510022891</v>
      </c>
      <c r="D14" s="2">
        <f t="shared" si="13"/>
        <v>4.0634886887528605</v>
      </c>
      <c r="E14" s="2">
        <f t="shared" si="0"/>
        <v>68.749081483855875</v>
      </c>
      <c r="F14" s="2">
        <f t="shared" si="5"/>
        <v>68.749081483855875</v>
      </c>
      <c r="G14" s="1">
        <f t="shared" si="1"/>
        <v>90</v>
      </c>
      <c r="H14" s="2">
        <f t="shared" si="14"/>
        <v>-21.250918516144125</v>
      </c>
      <c r="I14" s="2">
        <f t="shared" si="10"/>
        <v>451.60153777979724</v>
      </c>
      <c r="J14" s="2">
        <f t="shared" si="2"/>
        <v>-2.5501102219372949</v>
      </c>
      <c r="K14" s="2">
        <f t="shared" si="3"/>
        <v>-0.85003674064576507</v>
      </c>
      <c r="L14" s="2">
        <f t="shared" si="4"/>
        <v>-1.0625459258072063</v>
      </c>
    </row>
    <row r="15" spans="1:12" ht="21" customHeight="1" x14ac:dyDescent="0.2">
      <c r="A15" s="1">
        <v>13</v>
      </c>
      <c r="B15" s="2">
        <f t="shared" si="11"/>
        <v>5.862483074944163</v>
      </c>
      <c r="C15" s="2">
        <f t="shared" si="12"/>
        <v>3.0208276916480541</v>
      </c>
      <c r="D15" s="2">
        <f t="shared" si="13"/>
        <v>5.1260346145600666</v>
      </c>
      <c r="E15" s="2">
        <f t="shared" si="0"/>
        <v>108.06328073872251</v>
      </c>
      <c r="F15" s="2">
        <f t="shared" si="5"/>
        <v>108.06328073872251</v>
      </c>
      <c r="G15" s="1">
        <f t="shared" si="1"/>
        <v>90</v>
      </c>
      <c r="H15" s="2">
        <f t="shared" si="14"/>
        <v>18.063280738722511</v>
      </c>
      <c r="I15" s="2">
        <f t="shared" si="10"/>
        <v>326.28211104590366</v>
      </c>
      <c r="J15" s="2">
        <f t="shared" si="2"/>
        <v>2.1675936886467015</v>
      </c>
      <c r="K15" s="2">
        <f t="shared" si="3"/>
        <v>0.72253122954890048</v>
      </c>
      <c r="L15" s="2">
        <f t="shared" si="4"/>
        <v>0.90316403693612557</v>
      </c>
    </row>
    <row r="16" spans="1:12" ht="21" customHeight="1" x14ac:dyDescent="0.2">
      <c r="A16" s="1">
        <v>14</v>
      </c>
      <c r="B16" s="2">
        <f t="shared" si="11"/>
        <v>3.6948893862974614</v>
      </c>
      <c r="C16" s="2">
        <f t="shared" si="12"/>
        <v>2.2982964620991537</v>
      </c>
      <c r="D16" s="2">
        <f t="shared" si="13"/>
        <v>4.222870577623941</v>
      </c>
      <c r="E16" s="2">
        <f t="shared" si="0"/>
        <v>74.646211372085858</v>
      </c>
      <c r="F16" s="2">
        <f t="shared" si="5"/>
        <v>74.646211372085858</v>
      </c>
      <c r="G16" s="1">
        <f t="shared" si="1"/>
        <v>90</v>
      </c>
      <c r="H16" s="2">
        <f t="shared" si="14"/>
        <v>-15.353788627914142</v>
      </c>
      <c r="I16" s="2">
        <f t="shared" si="10"/>
        <v>235.73882523066561</v>
      </c>
      <c r="J16" s="2">
        <f t="shared" si="2"/>
        <v>-1.8424546353496971</v>
      </c>
      <c r="K16" s="2">
        <f t="shared" si="3"/>
        <v>-0.61415154511656567</v>
      </c>
      <c r="L16" s="2">
        <f t="shared" si="4"/>
        <v>-0.76768943139570711</v>
      </c>
    </row>
    <row r="17" spans="1:12" ht="21" customHeight="1" x14ac:dyDescent="0.2">
      <c r="A17" s="1">
        <v>15</v>
      </c>
      <c r="B17" s="2">
        <f t="shared" si="11"/>
        <v>5.5373440216471588</v>
      </c>
      <c r="C17" s="2">
        <f t="shared" si="12"/>
        <v>2.9124480072157195</v>
      </c>
      <c r="D17" s="2">
        <f t="shared" si="13"/>
        <v>4.9905600090196485</v>
      </c>
      <c r="E17" s="2">
        <f t="shared" si="0"/>
        <v>103.05072033372703</v>
      </c>
      <c r="F17" s="2">
        <f t="shared" si="5"/>
        <v>103.05072033372703</v>
      </c>
      <c r="G17" s="1">
        <f t="shared" si="1"/>
        <v>90</v>
      </c>
      <c r="H17" s="2">
        <f t="shared" si="14"/>
        <v>13.050720333727028</v>
      </c>
      <c r="I17" s="2">
        <f t="shared" si="10"/>
        <v>170.32130122915612</v>
      </c>
      <c r="J17" s="2">
        <f t="shared" si="2"/>
        <v>1.5660864400472434</v>
      </c>
      <c r="K17" s="2">
        <f t="shared" si="3"/>
        <v>0.52202881334908113</v>
      </c>
      <c r="L17" s="2">
        <f t="shared" si="4"/>
        <v>0.65253601668635142</v>
      </c>
    </row>
    <row r="18" spans="1:12" ht="21" customHeight="1" x14ac:dyDescent="0.2">
      <c r="A18" s="1">
        <v>16</v>
      </c>
      <c r="B18" s="2">
        <f t="shared" si="11"/>
        <v>3.9712575815999154</v>
      </c>
      <c r="C18" s="2">
        <f t="shared" si="12"/>
        <v>2.3904191938666384</v>
      </c>
      <c r="D18" s="2">
        <f t="shared" si="13"/>
        <v>4.3380239923332971</v>
      </c>
      <c r="E18" s="2">
        <f t="shared" si="0"/>
        <v>78.906887716332022</v>
      </c>
      <c r="F18" s="2">
        <f t="shared" si="5"/>
        <v>78.906887716332022</v>
      </c>
      <c r="G18" s="1">
        <f t="shared" si="1"/>
        <v>90</v>
      </c>
      <c r="H18" s="2">
        <f t="shared" si="14"/>
        <v>-11.093112283667978</v>
      </c>
      <c r="I18" s="2">
        <f t="shared" si="10"/>
        <v>123.05714013806538</v>
      </c>
      <c r="J18" s="2">
        <f t="shared" si="2"/>
        <v>-1.3311734740401573</v>
      </c>
      <c r="K18" s="2">
        <f t="shared" si="3"/>
        <v>-0.4437244913467191</v>
      </c>
      <c r="L18" s="2">
        <f t="shared" si="4"/>
        <v>-0.55465561418339893</v>
      </c>
    </row>
    <row r="19" spans="1:12" ht="21" customHeight="1" x14ac:dyDescent="0.2">
      <c r="A19" s="1">
        <v>17</v>
      </c>
      <c r="B19" s="2">
        <f t="shared" si="11"/>
        <v>5.3024310556400724</v>
      </c>
      <c r="C19" s="2">
        <f t="shared" si="12"/>
        <v>2.8341436852133572</v>
      </c>
      <c r="D19" s="2">
        <f t="shared" si="13"/>
        <v>4.8926796065166958</v>
      </c>
      <c r="E19" s="2">
        <f t="shared" si="0"/>
        <v>99.429145441117782</v>
      </c>
      <c r="F19" s="2">
        <f t="shared" si="5"/>
        <v>99.429145441117782</v>
      </c>
      <c r="G19" s="1">
        <f t="shared" si="1"/>
        <v>90</v>
      </c>
      <c r="H19" s="2">
        <f t="shared" si="14"/>
        <v>9.4291454411177824</v>
      </c>
      <c r="I19" s="2">
        <f t="shared" si="10"/>
        <v>88.90878374975226</v>
      </c>
      <c r="J19" s="2">
        <f t="shared" si="2"/>
        <v>1.131497452934134</v>
      </c>
      <c r="K19" s="2">
        <f t="shared" si="3"/>
        <v>0.3771658176447113</v>
      </c>
      <c r="L19" s="2">
        <f t="shared" si="4"/>
        <v>0.47145727205588911</v>
      </c>
    </row>
    <row r="20" spans="1:12" ht="21" customHeight="1" x14ac:dyDescent="0.2">
      <c r="A20" s="1">
        <v>18</v>
      </c>
      <c r="B20" s="2">
        <f t="shared" si="11"/>
        <v>4.1709336027059383</v>
      </c>
      <c r="C20" s="2">
        <f t="shared" si="12"/>
        <v>2.456977867568646</v>
      </c>
      <c r="D20" s="2">
        <f t="shared" si="13"/>
        <v>4.4212223344608068</v>
      </c>
      <c r="E20" s="2">
        <f t="shared" si="0"/>
        <v>81.985226375049876</v>
      </c>
      <c r="F20" s="2">
        <f t="shared" si="5"/>
        <v>81.985226375049876</v>
      </c>
      <c r="G20" s="1">
        <f t="shared" si="1"/>
        <v>90</v>
      </c>
      <c r="H20" s="2">
        <f t="shared" si="14"/>
        <v>-8.0147736249501236</v>
      </c>
      <c r="I20" s="2">
        <f t="shared" si="10"/>
        <v>64.236596259196148</v>
      </c>
      <c r="J20" s="2">
        <f t="shared" si="2"/>
        <v>-0.96177283499401489</v>
      </c>
      <c r="K20" s="2">
        <f t="shared" si="3"/>
        <v>-0.32059094499800495</v>
      </c>
      <c r="L20" s="2">
        <f t="shared" si="4"/>
        <v>-0.40073868124750617</v>
      </c>
    </row>
    <row r="21" spans="1:12" ht="21" customHeight="1" x14ac:dyDescent="0.2">
      <c r="A21" s="1">
        <v>19</v>
      </c>
      <c r="B21" s="2">
        <f t="shared" si="11"/>
        <v>5.1327064376999534</v>
      </c>
      <c r="C21" s="2">
        <f t="shared" si="12"/>
        <v>2.7775688125666509</v>
      </c>
      <c r="D21" s="2">
        <f t="shared" si="13"/>
        <v>4.8219610157083128</v>
      </c>
      <c r="E21" s="2">
        <f t="shared" si="0"/>
        <v>96.812557581207614</v>
      </c>
      <c r="F21" s="2">
        <f t="shared" si="5"/>
        <v>96.812557581207614</v>
      </c>
      <c r="G21" s="1">
        <f t="shared" si="1"/>
        <v>90</v>
      </c>
      <c r="H21" s="2">
        <f t="shared" si="14"/>
        <v>6.8125575812076136</v>
      </c>
      <c r="I21" s="2">
        <f t="shared" si="10"/>
        <v>46.410940797269333</v>
      </c>
      <c r="J21" s="2">
        <f t="shared" si="2"/>
        <v>0.81750690974491369</v>
      </c>
      <c r="K21" s="2">
        <f t="shared" si="3"/>
        <v>0.27250230324830454</v>
      </c>
      <c r="L21" s="2">
        <f t="shared" si="4"/>
        <v>0.34062787906038067</v>
      </c>
    </row>
    <row r="22" spans="1:12" ht="21" customHeight="1" x14ac:dyDescent="0.2">
      <c r="A22" s="1">
        <v>20</v>
      </c>
      <c r="B22" s="2">
        <f t="shared" si="11"/>
        <v>4.3151995279550395</v>
      </c>
      <c r="C22" s="2">
        <f t="shared" si="12"/>
        <v>2.5050665093183464</v>
      </c>
      <c r="D22" s="2">
        <f t="shared" si="13"/>
        <v>4.4813331366479323</v>
      </c>
      <c r="E22" s="2">
        <f t="shared" si="0"/>
        <v>84.20932605597352</v>
      </c>
      <c r="F22" s="2">
        <f t="shared" si="5"/>
        <v>84.20932605597352</v>
      </c>
      <c r="G22" s="1">
        <f t="shared" si="1"/>
        <v>90</v>
      </c>
      <c r="H22" s="2">
        <f t="shared" si="14"/>
        <v>-5.7906739440264801</v>
      </c>
      <c r="I22" s="2">
        <f t="shared" si="10"/>
        <v>33.531904726027193</v>
      </c>
      <c r="J22" s="2">
        <f t="shared" si="2"/>
        <v>-0.6948808732831776</v>
      </c>
      <c r="K22" s="2">
        <f t="shared" si="3"/>
        <v>-0.23162695776105921</v>
      </c>
      <c r="L22" s="2">
        <f t="shared" si="4"/>
        <v>-0.28953369720132399</v>
      </c>
    </row>
    <row r="23" spans="1:12" ht="21" customHeight="1" x14ac:dyDescent="0.2">
      <c r="A23" s="1">
        <v>21</v>
      </c>
      <c r="B23" s="2">
        <f t="shared" si="11"/>
        <v>5.0100804012382172</v>
      </c>
      <c r="C23" s="2">
        <f t="shared" si="12"/>
        <v>2.7366934670794056</v>
      </c>
      <c r="D23" s="2">
        <f t="shared" si="13"/>
        <v>4.7708668338492561</v>
      </c>
      <c r="E23" s="2">
        <f t="shared" si="0"/>
        <v>94.922072852422502</v>
      </c>
      <c r="F23" s="2">
        <f t="shared" si="5"/>
        <v>94.922072852422502</v>
      </c>
      <c r="G23" s="1">
        <f t="shared" si="1"/>
        <v>90</v>
      </c>
      <c r="H23" s="2">
        <f t="shared" si="14"/>
        <v>4.9220728524225024</v>
      </c>
      <c r="I23" s="2">
        <f t="shared" si="10"/>
        <v>24.22680116455459</v>
      </c>
      <c r="J23" s="2">
        <f t="shared" si="2"/>
        <v>0.5906487422907003</v>
      </c>
      <c r="K23" s="2">
        <f t="shared" si="3"/>
        <v>0.19688291409690009</v>
      </c>
      <c r="L23" s="2">
        <f t="shared" si="4"/>
        <v>0.24610364262112513</v>
      </c>
    </row>
    <row r="24" spans="1:12" ht="21" customHeight="1" x14ac:dyDescent="0.2">
      <c r="A24" s="1">
        <v>22</v>
      </c>
      <c r="B24" s="2">
        <f t="shared" si="11"/>
        <v>4.4194316589475164</v>
      </c>
      <c r="C24" s="2">
        <f t="shared" si="12"/>
        <v>2.5398105529825057</v>
      </c>
      <c r="D24" s="2">
        <f t="shared" si="13"/>
        <v>4.5247631912281312</v>
      </c>
      <c r="E24" s="2">
        <f t="shared" si="0"/>
        <v>85.816238075440879</v>
      </c>
      <c r="F24" s="2">
        <f t="shared" si="5"/>
        <v>85.816238075440879</v>
      </c>
      <c r="G24" s="1">
        <f t="shared" si="1"/>
        <v>90</v>
      </c>
      <c r="H24" s="2">
        <f t="shared" si="14"/>
        <v>-4.1837619245591213</v>
      </c>
      <c r="I24" s="2">
        <f t="shared" si="10"/>
        <v>17.503863841390643</v>
      </c>
      <c r="J24" s="2">
        <f t="shared" si="2"/>
        <v>-0.50205143094709459</v>
      </c>
      <c r="K24" s="2">
        <f t="shared" si="3"/>
        <v>-0.16735047698236485</v>
      </c>
      <c r="L24" s="2">
        <f t="shared" si="4"/>
        <v>-0.20918809622795606</v>
      </c>
    </row>
    <row r="25" spans="1:12" ht="21" customHeight="1" x14ac:dyDescent="0.2">
      <c r="A25" s="1">
        <v>23</v>
      </c>
      <c r="B25" s="2">
        <f t="shared" si="11"/>
        <v>4.9214830898946111</v>
      </c>
      <c r="C25" s="2">
        <f t="shared" si="12"/>
        <v>2.7071610299648707</v>
      </c>
      <c r="D25" s="2">
        <f t="shared" si="13"/>
        <v>4.7339512874560876</v>
      </c>
      <c r="E25" s="2">
        <f t="shared" si="0"/>
        <v>93.55619763587525</v>
      </c>
      <c r="F25" s="2">
        <f t="shared" si="5"/>
        <v>93.55619763587525</v>
      </c>
      <c r="G25" s="1">
        <f t="shared" si="1"/>
        <v>90</v>
      </c>
      <c r="H25" s="2">
        <f t="shared" si="14"/>
        <v>3.5561976358752503</v>
      </c>
      <c r="I25" s="2">
        <f t="shared" si="10"/>
        <v>12.646541625404719</v>
      </c>
      <c r="J25" s="2">
        <f t="shared" si="2"/>
        <v>0.42674371630503005</v>
      </c>
      <c r="K25" s="2">
        <f t="shared" si="3"/>
        <v>0.14224790543501001</v>
      </c>
      <c r="L25" s="2">
        <f t="shared" si="4"/>
        <v>0.17780988179376253</v>
      </c>
    </row>
    <row r="26" spans="1:12" ht="21" customHeight="1" x14ac:dyDescent="0.2">
      <c r="A26" s="1">
        <v>24</v>
      </c>
      <c r="B26" s="2">
        <f t="shared" si="11"/>
        <v>4.4947393735895815</v>
      </c>
      <c r="C26" s="2">
        <f t="shared" si="12"/>
        <v>2.5649131245298609</v>
      </c>
      <c r="D26" s="2">
        <f t="shared" si="13"/>
        <v>4.5561414056623253</v>
      </c>
      <c r="E26" s="2">
        <f t="shared" si="0"/>
        <v>86.977232009506039</v>
      </c>
      <c r="F26" s="2">
        <f t="shared" si="5"/>
        <v>86.977232009506039</v>
      </c>
      <c r="G26" s="1">
        <f t="shared" si="1"/>
        <v>90</v>
      </c>
      <c r="H26" s="2">
        <f t="shared" si="14"/>
        <v>-3.0227679904939606</v>
      </c>
      <c r="I26" s="2">
        <f t="shared" si="10"/>
        <v>9.137126324354897</v>
      </c>
      <c r="J26" s="2">
        <f t="shared" si="2"/>
        <v>-0.36273215885927529</v>
      </c>
      <c r="K26" s="2">
        <f t="shared" si="3"/>
        <v>-0.12091071961975842</v>
      </c>
      <c r="L26" s="2">
        <f t="shared" si="4"/>
        <v>-0.15113839952469804</v>
      </c>
    </row>
    <row r="27" spans="1:12" ht="21" customHeight="1" x14ac:dyDescent="0.2">
      <c r="A27" s="1">
        <v>25</v>
      </c>
      <c r="B27" s="2">
        <f t="shared" si="11"/>
        <v>4.8574715324488569</v>
      </c>
      <c r="C27" s="2">
        <f t="shared" si="12"/>
        <v>2.6858238441496192</v>
      </c>
      <c r="D27" s="2">
        <f t="shared" si="13"/>
        <v>4.7072798051870235</v>
      </c>
      <c r="E27" s="2">
        <f t="shared" si="0"/>
        <v>92.569352791919869</v>
      </c>
      <c r="F27" s="2">
        <f t="shared" si="5"/>
        <v>92.569352791919869</v>
      </c>
      <c r="G27" s="1">
        <f t="shared" si="1"/>
        <v>90</v>
      </c>
      <c r="H27" s="2">
        <f t="shared" si="14"/>
        <v>2.5693527919198687</v>
      </c>
      <c r="I27" s="2">
        <f t="shared" si="10"/>
        <v>6.601573769346424</v>
      </c>
      <c r="J27" s="2">
        <f t="shared" si="2"/>
        <v>0.30832233503038425</v>
      </c>
      <c r="K27" s="2">
        <f t="shared" si="3"/>
        <v>0.10277411167679475</v>
      </c>
      <c r="L27" s="2">
        <f t="shared" si="4"/>
        <v>0.12846763959599344</v>
      </c>
    </row>
    <row r="28" spans="1:12" ht="21" customHeight="1" x14ac:dyDescent="0.2">
      <c r="A28" s="1">
        <v>26</v>
      </c>
      <c r="B28" s="2">
        <f t="shared" si="11"/>
        <v>4.5491491974184726</v>
      </c>
      <c r="C28" s="2">
        <f t="shared" si="12"/>
        <v>2.5830497324728245</v>
      </c>
      <c r="D28" s="2">
        <f t="shared" si="13"/>
        <v>4.5788121655910299</v>
      </c>
      <c r="E28" s="2">
        <f t="shared" si="0"/>
        <v>87.816050126868106</v>
      </c>
      <c r="F28" s="2">
        <f t="shared" si="5"/>
        <v>87.816050126868106</v>
      </c>
      <c r="G28" s="1">
        <f t="shared" si="1"/>
        <v>90</v>
      </c>
      <c r="H28" s="2">
        <f t="shared" si="14"/>
        <v>-2.183949873131894</v>
      </c>
      <c r="I28" s="2">
        <f t="shared" si="10"/>
        <v>4.7696370483528163</v>
      </c>
      <c r="J28" s="2">
        <f t="shared" si="2"/>
        <v>-0.26207398477582727</v>
      </c>
      <c r="K28" s="2">
        <f t="shared" si="3"/>
        <v>-8.7357994925275767E-2</v>
      </c>
      <c r="L28" s="2">
        <f t="shared" si="4"/>
        <v>-0.1091974936565947</v>
      </c>
    </row>
    <row r="29" spans="1:12" ht="21" customHeight="1" x14ac:dyDescent="0.2">
      <c r="A29" s="1">
        <v>27</v>
      </c>
      <c r="B29" s="2">
        <f t="shared" si="11"/>
        <v>4.8112231821942997</v>
      </c>
      <c r="C29" s="2">
        <f t="shared" si="12"/>
        <v>2.6704077273981004</v>
      </c>
      <c r="D29" s="2">
        <f t="shared" si="13"/>
        <v>4.6880096592476246</v>
      </c>
      <c r="E29" s="2">
        <f t="shared" si="0"/>
        <v>91.856357392162124</v>
      </c>
      <c r="F29" s="2">
        <f t="shared" si="5"/>
        <v>91.856357392162124</v>
      </c>
      <c r="G29" s="1">
        <f t="shared" si="1"/>
        <v>90</v>
      </c>
      <c r="H29" s="2">
        <f t="shared" si="14"/>
        <v>1.8563573921621241</v>
      </c>
      <c r="I29" s="2">
        <f t="shared" si="10"/>
        <v>3.4460627674349622</v>
      </c>
      <c r="J29" s="2">
        <f t="shared" si="2"/>
        <v>0.22276288705945491</v>
      </c>
      <c r="K29" s="2">
        <f t="shared" si="3"/>
        <v>7.4254295686484964E-2</v>
      </c>
      <c r="L29" s="2">
        <f t="shared" si="4"/>
        <v>9.2817869608106215E-2</v>
      </c>
    </row>
    <row r="30" spans="1:12" ht="21" customHeight="1" x14ac:dyDescent="0.2">
      <c r="A30" s="1">
        <v>28</v>
      </c>
      <c r="B30" s="2">
        <f t="shared" si="11"/>
        <v>4.588460295134845</v>
      </c>
      <c r="C30" s="2">
        <f t="shared" si="12"/>
        <v>2.5961534317116155</v>
      </c>
      <c r="D30" s="2">
        <f t="shared" si="13"/>
        <v>4.595191789639518</v>
      </c>
      <c r="E30" s="2">
        <f t="shared" si="0"/>
        <v>88.422096216662197</v>
      </c>
      <c r="F30" s="2">
        <f t="shared" si="5"/>
        <v>88.422096216662197</v>
      </c>
      <c r="G30" s="1">
        <f t="shared" si="1"/>
        <v>90</v>
      </c>
      <c r="H30" s="2">
        <f t="shared" si="14"/>
        <v>-1.5779037833378027</v>
      </c>
      <c r="I30" s="2">
        <f t="shared" si="10"/>
        <v>2.4897803494717512</v>
      </c>
      <c r="J30" s="2">
        <f t="shared" si="2"/>
        <v>-0.18934845400053632</v>
      </c>
      <c r="K30" s="2">
        <f t="shared" si="3"/>
        <v>-6.3116151333512102E-2</v>
      </c>
      <c r="L30" s="2">
        <f t="shared" si="4"/>
        <v>-7.8895189166890131E-2</v>
      </c>
    </row>
    <row r="31" spans="1:12" ht="21" customHeight="1" x14ac:dyDescent="0.2">
      <c r="A31" s="1">
        <v>29</v>
      </c>
      <c r="B31" s="2">
        <f t="shared" si="11"/>
        <v>4.7778087491353816</v>
      </c>
      <c r="C31" s="2">
        <f t="shared" si="12"/>
        <v>2.6592695830451274</v>
      </c>
      <c r="D31" s="2">
        <f t="shared" si="13"/>
        <v>4.6740869788064083</v>
      </c>
      <c r="E31" s="2">
        <f t="shared" si="0"/>
        <v>91.341218215837131</v>
      </c>
      <c r="F31" s="2">
        <f t="shared" si="5"/>
        <v>91.341218215837131</v>
      </c>
      <c r="G31" s="1">
        <f t="shared" si="1"/>
        <v>90</v>
      </c>
      <c r="H31" s="2">
        <f t="shared" si="14"/>
        <v>1.3412182158371309</v>
      </c>
      <c r="I31" s="2">
        <f t="shared" si="10"/>
        <v>1.7988663024933365</v>
      </c>
      <c r="J31" s="2">
        <f t="shared" si="2"/>
        <v>0.1609461859004557</v>
      </c>
      <c r="K31" s="2">
        <f t="shared" si="3"/>
        <v>5.3648728633485236E-2</v>
      </c>
      <c r="L31" s="2">
        <f t="shared" si="4"/>
        <v>6.706091079185654E-2</v>
      </c>
    </row>
    <row r="32" spans="1:12" ht="21" customHeight="1" x14ac:dyDescent="0.2">
      <c r="A32" s="1">
        <v>30</v>
      </c>
      <c r="B32" s="2">
        <f t="shared" si="11"/>
        <v>4.6168625632349256</v>
      </c>
      <c r="C32" s="2">
        <f t="shared" si="12"/>
        <v>2.6056208544116424</v>
      </c>
      <c r="D32" s="2">
        <f t="shared" si="13"/>
        <v>4.6070260680145516</v>
      </c>
      <c r="E32" s="2">
        <f t="shared" si="0"/>
        <v>88.85996451653844</v>
      </c>
      <c r="F32" s="2">
        <f t="shared" si="5"/>
        <v>88.85996451653844</v>
      </c>
      <c r="G32" s="1">
        <f t="shared" si="1"/>
        <v>90</v>
      </c>
      <c r="H32" s="2">
        <f t="shared" si="14"/>
        <v>-1.1400354834615598</v>
      </c>
      <c r="I32" s="2">
        <f t="shared" si="10"/>
        <v>1.2996809035514325</v>
      </c>
      <c r="J32" s="2">
        <f t="shared" si="2"/>
        <v>-0.13680425801538718</v>
      </c>
      <c r="K32" s="2">
        <f t="shared" si="3"/>
        <v>-4.5601419338462394E-2</v>
      </c>
      <c r="L32" s="2">
        <f t="shared" si="4"/>
        <v>-5.7001774173077994E-2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5</vt:i4>
      </vt:variant>
    </vt:vector>
  </HeadingPairs>
  <TitlesOfParts>
    <vt:vector size="7" baseType="lpstr">
      <vt:lpstr>Data</vt:lpstr>
      <vt:lpstr>Training</vt:lpstr>
      <vt:lpstr>coffee_count</vt:lpstr>
      <vt:lpstr>exam_result</vt:lpstr>
      <vt:lpstr>learn_hours</vt:lpstr>
      <vt:lpstr>learning_rate</vt:lpstr>
      <vt:lpstr>sleep_hours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Kohlegger</dc:creator>
  <cp:lastModifiedBy>Michael Kohlegger</cp:lastModifiedBy>
  <dcterms:created xsi:type="dcterms:W3CDTF">2026-06-25T13:54:36Z</dcterms:created>
  <dcterms:modified xsi:type="dcterms:W3CDTF">2026-06-25T18:38:26Z</dcterms:modified>
</cp:coreProperties>
</file>