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kohlegger/Documents/GitHub/industrial_computing_dibse_26/demo/"/>
    </mc:Choice>
  </mc:AlternateContent>
  <xr:revisionPtr revIDLastSave="0" documentId="13_ncr:1_{D3B176F0-27CC-0E4B-8069-795A49A2FD2C}" xr6:coauthVersionLast="47" xr6:coauthVersionMax="47" xr10:uidLastSave="{00000000-0000-0000-0000-000000000000}"/>
  <bookViews>
    <workbookView xWindow="0" yWindow="780" windowWidth="36000" windowHeight="21540" activeTab="1" xr2:uid="{0E348D80-D45C-684A-BAA9-647846705477}"/>
  </bookViews>
  <sheets>
    <sheet name="Data" sheetId="3" r:id="rId1"/>
    <sheet name="Training" sheetId="1" r:id="rId2"/>
  </sheets>
  <definedNames>
    <definedName name="coffee_count">Data!$C$4</definedName>
    <definedName name="exam_result">Data!$C$5</definedName>
    <definedName name="learn_hours">Data!$C$2</definedName>
    <definedName name="learning_rate">Data!$C$6</definedName>
    <definedName name="sleep_hours">Data!$C$3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E2" i="1"/>
  <c r="G2" i="1" s="1"/>
  <c r="J2" i="1" l="1"/>
  <c r="C3" i="1" s="1"/>
  <c r="K2" i="1"/>
  <c r="D3" i="1" s="1"/>
  <c r="H2" i="1"/>
  <c r="I2" i="1"/>
  <c r="B3" i="1" s="1"/>
  <c r="E3" i="1" l="1"/>
  <c r="F3" i="1" l="1"/>
  <c r="G3" i="1"/>
  <c r="K3" i="1" s="1"/>
  <c r="D4" i="1" s="1"/>
  <c r="I3" i="1"/>
  <c r="B4" i="1" s="1"/>
  <c r="H3" i="1"/>
  <c r="J3" i="1"/>
  <c r="C4" i="1" s="1"/>
  <c r="E4" i="1" l="1"/>
  <c r="F4" i="1" l="1"/>
  <c r="G4" i="1"/>
  <c r="K4" i="1"/>
  <c r="D5" i="1" s="1"/>
  <c r="H4" i="1"/>
  <c r="J4" i="1"/>
  <c r="C5" i="1" s="1"/>
  <c r="I4" i="1"/>
  <c r="B5" i="1" s="1"/>
  <c r="E5" i="1" l="1"/>
  <c r="F5" i="1" l="1"/>
  <c r="G5" i="1"/>
  <c r="K5" i="1"/>
  <c r="D6" i="1" s="1"/>
  <c r="I5" i="1"/>
  <c r="B6" i="1" s="1"/>
  <c r="J5" i="1"/>
  <c r="C6" i="1" s="1"/>
  <c r="H5" i="1"/>
  <c r="E6" i="1" l="1"/>
  <c r="F6" i="1" l="1"/>
  <c r="G6" i="1"/>
  <c r="K6" i="1"/>
  <c r="D7" i="1" s="1"/>
  <c r="I6" i="1"/>
  <c r="B7" i="1" s="1"/>
  <c r="J6" i="1"/>
  <c r="C7" i="1" s="1"/>
  <c r="H6" i="1"/>
  <c r="E7" i="1" l="1"/>
  <c r="F7" i="1" l="1"/>
  <c r="G7" i="1"/>
  <c r="K7" i="1"/>
  <c r="D8" i="1" s="1"/>
  <c r="J7" i="1"/>
  <c r="C8" i="1" s="1"/>
  <c r="H7" i="1"/>
  <c r="I7" i="1"/>
  <c r="B8" i="1" s="1"/>
  <c r="E8" i="1" l="1"/>
  <c r="F8" i="1" l="1"/>
  <c r="G8" i="1"/>
  <c r="K8" i="1" s="1"/>
  <c r="D9" i="1" s="1"/>
  <c r="H8" i="1"/>
  <c r="I8" i="1"/>
  <c r="B9" i="1" s="1"/>
  <c r="J8" i="1"/>
  <c r="C9" i="1" s="1"/>
  <c r="E9" i="1" l="1"/>
  <c r="F9" i="1" l="1"/>
  <c r="G9" i="1"/>
  <c r="K9" i="1" s="1"/>
  <c r="D10" i="1" s="1"/>
  <c r="I9" i="1"/>
  <c r="B10" i="1" s="1"/>
  <c r="H9" i="1"/>
  <c r="J9" i="1"/>
  <c r="C10" i="1" s="1"/>
  <c r="E10" i="1" l="1"/>
  <c r="F10" i="1" l="1"/>
  <c r="G10" i="1"/>
  <c r="K10" i="1"/>
  <c r="D11" i="1" s="1"/>
  <c r="I10" i="1"/>
  <c r="B11" i="1" s="1"/>
  <c r="H10" i="1"/>
  <c r="J10" i="1"/>
  <c r="C11" i="1" s="1"/>
  <c r="E11" i="1" l="1"/>
  <c r="F11" i="1" l="1"/>
  <c r="G11" i="1"/>
  <c r="K11" i="1" s="1"/>
  <c r="D12" i="1" s="1"/>
  <c r="I11" i="1"/>
  <c r="B12" i="1" s="1"/>
  <c r="H11" i="1"/>
  <c r="J11" i="1"/>
  <c r="C12" i="1" s="1"/>
  <c r="E12" i="1" l="1"/>
  <c r="F12" i="1" l="1"/>
  <c r="G12" i="1"/>
  <c r="K12" i="1"/>
  <c r="D13" i="1" s="1"/>
  <c r="J12" i="1"/>
  <c r="C13" i="1" s="1"/>
  <c r="H12" i="1"/>
  <c r="I12" i="1"/>
  <c r="B13" i="1" s="1"/>
  <c r="E13" i="1" l="1"/>
  <c r="F13" i="1" l="1"/>
  <c r="G13" i="1"/>
  <c r="H13" i="1"/>
  <c r="I13" i="1"/>
  <c r="B14" i="1" s="1"/>
  <c r="J13" i="1"/>
  <c r="C14" i="1" s="1"/>
  <c r="K13" i="1"/>
  <c r="D14" i="1" s="1"/>
  <c r="E14" i="1" l="1"/>
  <c r="F14" i="1" l="1"/>
  <c r="G14" i="1"/>
  <c r="H14" i="1"/>
  <c r="J14" i="1"/>
  <c r="C15" i="1" s="1"/>
  <c r="K14" i="1"/>
  <c r="D15" i="1" s="1"/>
  <c r="I14" i="1"/>
  <c r="B15" i="1" s="1"/>
  <c r="E15" i="1" s="1"/>
  <c r="F15" i="1" l="1"/>
  <c r="G15" i="1"/>
  <c r="J15" i="1" s="1"/>
  <c r="C16" i="1" s="1"/>
  <c r="H15" i="1"/>
  <c r="I15" i="1"/>
  <c r="B16" i="1" s="1"/>
  <c r="K15" i="1"/>
  <c r="D16" i="1" s="1"/>
  <c r="E16" i="1" l="1"/>
  <c r="F16" i="1" l="1"/>
  <c r="G16" i="1"/>
  <c r="H16" i="1"/>
  <c r="I16" i="1"/>
  <c r="B17" i="1" s="1"/>
  <c r="J16" i="1"/>
  <c r="C17" i="1" s="1"/>
  <c r="K16" i="1"/>
  <c r="D17" i="1" s="1"/>
  <c r="E17" i="1" l="1"/>
  <c r="F17" i="1" l="1"/>
  <c r="G17" i="1"/>
  <c r="J17" i="1"/>
  <c r="C18" i="1" s="1"/>
  <c r="H17" i="1"/>
  <c r="I17" i="1"/>
  <c r="B18" i="1" s="1"/>
  <c r="K17" i="1"/>
  <c r="D18" i="1" s="1"/>
  <c r="E18" i="1" l="1"/>
  <c r="F18" i="1" l="1"/>
  <c r="G18" i="1"/>
  <c r="K18" i="1"/>
  <c r="D19" i="1" s="1"/>
  <c r="I18" i="1"/>
  <c r="B19" i="1" s="1"/>
  <c r="H18" i="1"/>
  <c r="J18" i="1"/>
  <c r="C19" i="1" s="1"/>
  <c r="E19" i="1" l="1"/>
  <c r="F19" i="1" l="1"/>
  <c r="G19" i="1"/>
  <c r="H19" i="1"/>
  <c r="I19" i="1"/>
  <c r="B20" i="1" s="1"/>
  <c r="J19" i="1"/>
  <c r="C20" i="1" s="1"/>
  <c r="K19" i="1"/>
  <c r="D20" i="1" s="1"/>
  <c r="E20" i="1" l="1"/>
  <c r="F20" i="1" l="1"/>
  <c r="G20" i="1"/>
  <c r="H20" i="1"/>
  <c r="I20" i="1"/>
  <c r="B21" i="1" s="1"/>
  <c r="K20" i="1"/>
  <c r="D21" i="1" s="1"/>
  <c r="J20" i="1"/>
  <c r="C21" i="1" s="1"/>
  <c r="E21" i="1" l="1"/>
  <c r="F21" i="1" l="1"/>
  <c r="G21" i="1"/>
  <c r="J21" i="1"/>
  <c r="C22" i="1" s="1"/>
  <c r="K21" i="1"/>
  <c r="D22" i="1" s="1"/>
  <c r="I21" i="1"/>
  <c r="B22" i="1" s="1"/>
  <c r="E22" i="1" s="1"/>
  <c r="H21" i="1"/>
  <c r="F22" i="1" l="1"/>
  <c r="G22" i="1"/>
  <c r="I22" i="1" s="1"/>
  <c r="B23" i="1" s="1"/>
  <c r="H22" i="1"/>
  <c r="J22" i="1"/>
  <c r="C23" i="1" s="1"/>
  <c r="K22" i="1" l="1"/>
  <c r="D23" i="1" s="1"/>
  <c r="E23" i="1"/>
  <c r="F23" i="1" l="1"/>
  <c r="G23" i="1"/>
  <c r="I23" i="1"/>
  <c r="B24" i="1" s="1"/>
  <c r="H23" i="1"/>
  <c r="J23" i="1"/>
  <c r="C24" i="1" s="1"/>
  <c r="K23" i="1"/>
  <c r="D24" i="1" s="1"/>
  <c r="E24" i="1" l="1"/>
  <c r="F24" i="1" l="1"/>
  <c r="G24" i="1"/>
  <c r="H24" i="1"/>
  <c r="K24" i="1"/>
  <c r="D25" i="1" s="1"/>
  <c r="J24" i="1"/>
  <c r="C25" i="1" s="1"/>
  <c r="I24" i="1"/>
  <c r="B25" i="1" s="1"/>
  <c r="E25" i="1" s="1"/>
  <c r="F25" i="1" l="1"/>
  <c r="G25" i="1"/>
  <c r="H25" i="1"/>
  <c r="I25" i="1"/>
  <c r="B26" i="1" s="1"/>
  <c r="J25" i="1"/>
  <c r="C26" i="1" s="1"/>
  <c r="K25" i="1"/>
  <c r="D26" i="1" s="1"/>
  <c r="E26" i="1" l="1"/>
  <c r="F26" i="1" l="1"/>
  <c r="G26" i="1"/>
  <c r="K26" i="1"/>
  <c r="D27" i="1" s="1"/>
  <c r="H26" i="1"/>
  <c r="J26" i="1"/>
  <c r="C27" i="1" s="1"/>
  <c r="I26" i="1"/>
  <c r="B27" i="1" s="1"/>
  <c r="E27" i="1" l="1"/>
  <c r="F27" i="1" l="1"/>
  <c r="G27" i="1"/>
  <c r="I27" i="1"/>
  <c r="B28" i="1" s="1"/>
  <c r="J27" i="1"/>
  <c r="C28" i="1" s="1"/>
  <c r="H27" i="1"/>
  <c r="K27" i="1"/>
  <c r="D28" i="1" s="1"/>
  <c r="E28" i="1" l="1"/>
  <c r="F28" i="1" l="1"/>
  <c r="G28" i="1"/>
  <c r="H28" i="1"/>
  <c r="I28" i="1"/>
  <c r="B29" i="1" s="1"/>
  <c r="K28" i="1"/>
  <c r="D29" i="1" s="1"/>
  <c r="J28" i="1"/>
  <c r="C29" i="1" s="1"/>
  <c r="E29" i="1" l="1"/>
  <c r="F29" i="1" l="1"/>
  <c r="G29" i="1"/>
  <c r="J29" i="1" s="1"/>
  <c r="C30" i="1" s="1"/>
  <c r="K29" i="1"/>
  <c r="D30" i="1" s="1"/>
  <c r="I29" i="1"/>
  <c r="B30" i="1" s="1"/>
  <c r="H29" i="1"/>
  <c r="E30" i="1" l="1"/>
  <c r="F30" i="1" l="1"/>
  <c r="G30" i="1"/>
  <c r="H30" i="1"/>
  <c r="J30" i="1"/>
  <c r="C31" i="1" s="1"/>
  <c r="K30" i="1"/>
  <c r="D31" i="1" s="1"/>
  <c r="I30" i="1"/>
  <c r="B31" i="1" s="1"/>
  <c r="E31" i="1" s="1"/>
  <c r="F31" i="1" l="1"/>
  <c r="G31" i="1"/>
  <c r="K31" i="1" s="1"/>
  <c r="D32" i="1" s="1"/>
  <c r="H31" i="1"/>
  <c r="I31" i="1"/>
  <c r="B32" i="1" s="1"/>
  <c r="J31" i="1"/>
  <c r="C32" i="1" s="1"/>
  <c r="E32" i="1" l="1"/>
  <c r="F32" i="1" l="1"/>
  <c r="G32" i="1"/>
  <c r="H32" i="1"/>
  <c r="I32" i="1"/>
  <c r="J32" i="1"/>
  <c r="K32" i="1"/>
</calcChain>
</file>

<file path=xl/sharedStrings.xml><?xml version="1.0" encoding="utf-8"?>
<sst xmlns="http://schemas.openxmlformats.org/spreadsheetml/2006/main" count="24" uniqueCount="22">
  <si>
    <t>iteration</t>
  </si>
  <si>
    <t>Value</t>
  </si>
  <si>
    <t>Key</t>
  </si>
  <si>
    <t>sleep hours</t>
  </si>
  <si>
    <t>exam result</t>
  </si>
  <si>
    <t>learn hours</t>
  </si>
  <si>
    <t>Type</t>
  </si>
  <si>
    <t>input</t>
  </si>
  <si>
    <t>target</t>
  </si>
  <si>
    <t>weigth_learning</t>
  </si>
  <si>
    <t>weight_sleeping</t>
  </si>
  <si>
    <t>prediction</t>
  </si>
  <si>
    <t>delta</t>
  </si>
  <si>
    <t>error</t>
  </si>
  <si>
    <t>gradient_learning</t>
  </si>
  <si>
    <t>gradient_sleeping</t>
  </si>
  <si>
    <t>hyper</t>
  </si>
  <si>
    <t>learning rate</t>
  </si>
  <si>
    <t>coffee count</t>
  </si>
  <si>
    <t>weight_coffee</t>
  </si>
  <si>
    <t>gradient_coffee</t>
  </si>
  <si>
    <t>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</si>
</sst>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Error Entwicklung über's Training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Training!$H$1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Training!$H$2:$H$32</c:f>
              <c:numCache>
                <c:formatCode>0.000</c:formatCode>
                <c:ptCount val="31"/>
                <c:pt idx="0">
                  <c:v>6658.5599999999995</c:v>
                </c:pt>
                <c:pt idx="1">
                  <c:v>4810.8096000000023</c:v>
                </c:pt>
                <c:pt idx="2">
                  <c:v>3475.8099360000019</c:v>
                </c:pt>
                <c:pt idx="3">
                  <c:v>2511.2726787599986</c:v>
                </c:pt>
                <c:pt idx="4">
                  <c:v>1814.3945104040986</c:v>
                </c:pt>
                <c:pt idx="5">
                  <c:v>1310.9000337669606</c:v>
                </c:pt>
                <c:pt idx="6">
                  <c:v>947.12527439662927</c:v>
                </c:pt>
                <c:pt idx="7">
                  <c:v>684.29801075156456</c:v>
                </c:pt>
                <c:pt idx="8">
                  <c:v>494.40531276800556</c:v>
                </c:pt>
                <c:pt idx="9">
                  <c:v>357.20783847488411</c:v>
                </c:pt>
                <c:pt idx="10">
                  <c:v>258.08266329810374</c:v>
                </c:pt>
                <c:pt idx="11">
                  <c:v>186.46472423287969</c:v>
                </c:pt>
                <c:pt idx="12">
                  <c:v>134.72076325825506</c:v>
                </c:pt>
                <c:pt idx="13">
                  <c:v>97.335751454089092</c:v>
                </c:pt>
                <c:pt idx="14">
                  <c:v>70.325080425579259</c:v>
                </c:pt>
                <c:pt idx="15">
                  <c:v>50.809870607480839</c:v>
                </c:pt>
                <c:pt idx="16">
                  <c:v>36.710131513904692</c:v>
                </c:pt>
                <c:pt idx="17">
                  <c:v>26.523070018796087</c:v>
                </c:pt>
                <c:pt idx="18">
                  <c:v>19.162918088580259</c:v>
                </c:pt>
                <c:pt idx="19">
                  <c:v>13.845208318999354</c:v>
                </c:pt>
                <c:pt idx="20">
                  <c:v>10.003163010477078</c:v>
                </c:pt>
                <c:pt idx="21">
                  <c:v>7.2272852750696588</c:v>
                </c:pt>
                <c:pt idx="22">
                  <c:v>5.2217136112378446</c:v>
                </c:pt>
                <c:pt idx="23">
                  <c:v>3.7726880841193617</c:v>
                </c:pt>
                <c:pt idx="24">
                  <c:v>2.7257671407762247</c:v>
                </c:pt>
                <c:pt idx="25">
                  <c:v>1.9693667592108304</c:v>
                </c:pt>
                <c:pt idx="26">
                  <c:v>1.422867483529825</c:v>
                </c:pt>
                <c:pt idx="27">
                  <c:v>1.0280217568502799</c:v>
                </c:pt>
                <c:pt idx="28">
                  <c:v>0.74274571932431621</c:v>
                </c:pt>
                <c:pt idx="29">
                  <c:v>0.53663378221182256</c:v>
                </c:pt>
                <c:pt idx="30">
                  <c:v>0.38771790764805331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E3-1A43-BC81-6603F27E3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322047"/>
        <c:axId val="1296322495"/>
      </c:scatterChart>
      <c:valAx>
        <c:axId val="1296322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>
                    <a:solidFill>
                      <a:schemeClr val="tx1"/>
                    </a:solidFill>
                  </a:rPr>
                  <a:t>Epochen (Länge des Trainings)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onsolas" panose="020B0609020204030204" pitchFamily="49" charset="0"/>
                <a:ea typeface="+mn-ea"/>
                <a:cs typeface="Consolas" panose="020B0609020204030204" pitchFamily="49" charset="0"/>
              </a:defRPr>
            </a:pPr>
            <a:endParaRPr lang="de-DE"/>
          </a:p>
        </c:txPr>
        <c:crossAx val="1296322495"/>
        <c:crosses val="autoZero"/>
        <c:crossBetween val="midCat"/>
      </c:valAx>
      <c:valAx>
        <c:axId val="1296322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>
                    <a:solidFill>
                      <a:schemeClr val="tx1"/>
                    </a:solidFill>
                  </a:rPr>
                  <a:t>Fehler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onsolas" panose="020B0609020204030204" pitchFamily="49" charset="0"/>
                <a:ea typeface="+mn-ea"/>
                <a:cs typeface="Consolas" panose="020B0609020204030204" pitchFamily="49" charset="0"/>
              </a:defRPr>
            </a:pPr>
            <a:endParaRPr lang="de-DE"/>
          </a:p>
        </c:txPr>
        <c:crossAx val="129632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122542</xdr:colOff>
      <xdr:row>0</xdr:row>
      <xdr:rowOff>115428</xdr:rowOff>
    </xdr:from>
    <xdr:to>
      <xdr:col>18</xdr:col>
      <xdr:colOff>490176</xdr:colOff>
      <xdr:row>19</xdr:row>
      <xdr:rowOff>100264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F529B0E-391D-8D18-5883-0AD915539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11CA-3FB3-4D4F-8431-20AD158290A9}">
  <dimension ref="A1:C6"/>
  <sheetViews>
    <sheetView showGridLines="0" zoomScale="175" workbookViewId="0">
      <selection activeCell="E6" sqref="E6"/>
    </sheetView>
  </sheetViews>
  <sheetFormatPr baseColWidth="10" defaultRowHeight="21" customHeight="1" x14ac:dyDescent="0.2"/>
  <cols>
    <col min="1" max="1" width="10.83203125" style="1"/>
    <col min="2" max="2" width="14" style="1" customWidth="1"/>
    <col min="3" max="16384" width="10.83203125" style="1"/>
  </cols>
  <sheetData>
    <row r="1" spans="1:3" ht="21" customHeight="1" thickBot="1" x14ac:dyDescent="0.25">
      <c r="A1" s="5" t="s">
        <v>6</v>
      </c>
      <c r="B1" s="6" t="s">
        <v>2</v>
      </c>
      <c r="C1" s="7" t="s">
        <v>1</v>
      </c>
    </row>
    <row r="2" spans="1:3" ht="21" customHeight="1" x14ac:dyDescent="0.2">
      <c r="A2" s="8" t="s">
        <v>7</v>
      </c>
      <c r="B2" s="4" t="s">
        <v>5</v>
      </c>
      <c r="C2" s="9">
        <v>12</v>
      </c>
    </row>
    <row r="3" spans="1:3" ht="21" customHeight="1" x14ac:dyDescent="0.2">
      <c r="A3" s="10" t="s">
        <v>7</v>
      </c>
      <c r="B3" s="2" t="s">
        <v>3</v>
      </c>
      <c r="C3" s="11">
        <v>4</v>
      </c>
    </row>
    <row r="4" spans="1:3" ht="21" customHeight="1" x14ac:dyDescent="0.2">
      <c r="A4" s="10" t="s">
        <v>7</v>
      </c>
      <c r="B4" s="2" t="s">
        <v>18</v>
      </c>
      <c r="C4" s="11">
        <v>5</v>
      </c>
    </row>
    <row r="5" spans="1:3" ht="21" customHeight="1" x14ac:dyDescent="0.2">
      <c r="A5" s="10" t="s">
        <v>8</v>
      </c>
      <c r="B5" s="2" t="s">
        <v>4</v>
      </c>
      <c r="C5" s="11">
        <v>90</v>
      </c>
    </row>
    <row r="6" spans="1:3" ht="21" customHeight="1" thickBot="1" x14ac:dyDescent="0.25">
      <c r="A6" s="12" t="s">
        <v>16</v>
      </c>
      <c r="B6" s="13" t="s">
        <v>17</v>
      </c>
      <c r="C6" s="14">
        <v>0.01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AFB8-565A-B04B-ABBF-7B262BBD8476}">
  <dimension ref="A1:K32"/>
  <sheetViews>
    <sheetView showGridLines="0" tabSelected="1" zoomScale="114" workbookViewId="0">
      <selection activeCell="H8" sqref="H8"/>
    </sheetView>
  </sheetViews>
  <sheetFormatPr baseColWidth="10" defaultRowHeight="21" customHeight="1" x14ac:dyDescent="0.2"/>
  <cols>
    <col min="1" max="1" width="10.83203125" style="1"/>
    <col min="2" max="4" width="18.5" style="1" customWidth="1"/>
    <col min="5" max="8" width="10.83203125" style="1"/>
    <col min="9" max="11" width="19.6640625" style="1" customWidth="1"/>
    <col min="12" max="16384" width="10.83203125" style="1"/>
  </cols>
  <sheetData>
    <row r="1" spans="1:11" ht="21" customHeight="1" thickBot="1" x14ac:dyDescent="0.25">
      <c r="A1" s="5" t="s">
        <v>0</v>
      </c>
      <c r="B1" s="6" t="s">
        <v>9</v>
      </c>
      <c r="C1" s="6" t="s">
        <v>10</v>
      </c>
      <c r="D1" s="6" t="s">
        <v>19</v>
      </c>
      <c r="E1" s="6" t="s">
        <v>11</v>
      </c>
      <c r="F1" s="6" t="s">
        <v>21</v>
      </c>
      <c r="G1" s="6" t="s">
        <v>12</v>
      </c>
      <c r="H1" s="6" t="s">
        <v>13</v>
      </c>
      <c r="I1" s="6" t="s">
        <v>14</v>
      </c>
      <c r="J1" s="6" t="s">
        <v>15</v>
      </c>
      <c r="K1" s="7" t="s">
        <v>20</v>
      </c>
    </row>
    <row r="2" spans="1:11" ht="21" customHeight="1" x14ac:dyDescent="0.2">
      <c r="A2" s="8">
        <v>0</v>
      </c>
      <c r="B2" s="15">
        <v>0.4</v>
      </c>
      <c r="C2" s="15">
        <v>0.4</v>
      </c>
      <c r="D2" s="15">
        <v>0.4</v>
      </c>
      <c r="E2" s="16">
        <f t="shared" ref="E2:E32" si="0">B2*learn_hours+C2*sleep_hours+D2*coffee_count</f>
        <v>8.4</v>
      </c>
      <c r="F2" s="16">
        <f>MAX(E2,0)</f>
        <v>8.4</v>
      </c>
      <c r="G2" s="16">
        <f>E2-exam_result</f>
        <v>-81.599999999999994</v>
      </c>
      <c r="H2" s="16">
        <f>G2^2</f>
        <v>6658.5599999999995</v>
      </c>
      <c r="I2" s="16">
        <f t="shared" ref="I2:I32" si="1">G2*learn_hours*learning_rate</f>
        <v>-9.7919999999999998</v>
      </c>
      <c r="J2" s="16">
        <f t="shared" ref="J2:J32" si="2">G2*sleep_hours*learning_rate</f>
        <v>-3.2639999999999998</v>
      </c>
      <c r="K2" s="17">
        <f t="shared" ref="K2:K32" si="3">G2*coffee_count*learning_rate</f>
        <v>-4.08</v>
      </c>
    </row>
    <row r="3" spans="1:11" ht="21" customHeight="1" x14ac:dyDescent="0.2">
      <c r="A3" s="10">
        <v>1</v>
      </c>
      <c r="B3" s="21">
        <f>B2-I2</f>
        <v>10.192</v>
      </c>
      <c r="C3" s="21">
        <f>C2-J2</f>
        <v>3.6639999999999997</v>
      </c>
      <c r="D3" s="21">
        <f>D2-K2</f>
        <v>4.4800000000000004</v>
      </c>
      <c r="E3" s="3">
        <f t="shared" si="0"/>
        <v>159.36000000000001</v>
      </c>
      <c r="F3" s="3">
        <f t="shared" ref="F3:F32" si="4">MAX(E3,0)</f>
        <v>159.36000000000001</v>
      </c>
      <c r="G3" s="16">
        <f>E3-exam_result</f>
        <v>69.360000000000014</v>
      </c>
      <c r="H3" s="3">
        <f>G3^2</f>
        <v>4810.8096000000023</v>
      </c>
      <c r="I3" s="3">
        <f t="shared" si="1"/>
        <v>8.3232000000000017</v>
      </c>
      <c r="J3" s="3">
        <f t="shared" si="2"/>
        <v>2.7744000000000004</v>
      </c>
      <c r="K3" s="18">
        <f t="shared" si="3"/>
        <v>3.4680000000000009</v>
      </c>
    </row>
    <row r="4" spans="1:11" ht="21" customHeight="1" x14ac:dyDescent="0.2">
      <c r="A4" s="10">
        <v>2</v>
      </c>
      <c r="B4" s="21">
        <f>B3-I3</f>
        <v>1.8687999999999985</v>
      </c>
      <c r="C4" s="21">
        <f>C3-J3</f>
        <v>0.88959999999999928</v>
      </c>
      <c r="D4" s="21">
        <f>D3-K3</f>
        <v>1.0119999999999996</v>
      </c>
      <c r="E4" s="3">
        <f t="shared" si="0"/>
        <v>31.043999999999979</v>
      </c>
      <c r="F4" s="3">
        <f t="shared" si="4"/>
        <v>31.043999999999979</v>
      </c>
      <c r="G4" s="16">
        <f>E4-exam_result</f>
        <v>-58.956000000000017</v>
      </c>
      <c r="H4" s="3">
        <f t="shared" ref="H4:H32" si="5">G4^2</f>
        <v>3475.8099360000019</v>
      </c>
      <c r="I4" s="3">
        <f t="shared" si="1"/>
        <v>-7.0747200000000019</v>
      </c>
      <c r="J4" s="3">
        <f t="shared" si="2"/>
        <v>-2.3582400000000008</v>
      </c>
      <c r="K4" s="18">
        <f t="shared" si="3"/>
        <v>-2.9478000000000009</v>
      </c>
    </row>
    <row r="5" spans="1:11" ht="21" customHeight="1" x14ac:dyDescent="0.2">
      <c r="A5" s="10">
        <v>3</v>
      </c>
      <c r="B5" s="21">
        <f>B4-I4</f>
        <v>8.9435199999999995</v>
      </c>
      <c r="C5" s="21">
        <f>C4-J4</f>
        <v>3.2478400000000001</v>
      </c>
      <c r="D5" s="21">
        <f>D4-K4</f>
        <v>3.9598000000000004</v>
      </c>
      <c r="E5" s="3">
        <f t="shared" si="0"/>
        <v>140.11259999999999</v>
      </c>
      <c r="F5" s="3">
        <f t="shared" si="4"/>
        <v>140.11259999999999</v>
      </c>
      <c r="G5" s="16">
        <f>E5-exam_result</f>
        <v>50.112599999999986</v>
      </c>
      <c r="H5" s="3">
        <f t="shared" si="5"/>
        <v>2511.2726787599986</v>
      </c>
      <c r="I5" s="3">
        <f t="shared" si="1"/>
        <v>6.0135119999999986</v>
      </c>
      <c r="J5" s="3">
        <f t="shared" si="2"/>
        <v>2.0045039999999994</v>
      </c>
      <c r="K5" s="18">
        <f t="shared" si="3"/>
        <v>2.5056299999999996</v>
      </c>
    </row>
    <row r="6" spans="1:11" ht="21" customHeight="1" x14ac:dyDescent="0.2">
      <c r="A6" s="10">
        <v>4</v>
      </c>
      <c r="B6" s="21">
        <f>B5-I5</f>
        <v>2.9300080000000008</v>
      </c>
      <c r="C6" s="21">
        <f>C5-J5</f>
        <v>1.2433360000000007</v>
      </c>
      <c r="D6" s="21">
        <f>D5-K5</f>
        <v>1.4541700000000009</v>
      </c>
      <c r="E6" s="3">
        <f t="shared" si="0"/>
        <v>47.404290000000017</v>
      </c>
      <c r="F6" s="3">
        <f t="shared" si="4"/>
        <v>47.404290000000017</v>
      </c>
      <c r="G6" s="16">
        <f>E6-exam_result</f>
        <v>-42.595709999999983</v>
      </c>
      <c r="H6" s="3">
        <f t="shared" si="5"/>
        <v>1814.3945104040986</v>
      </c>
      <c r="I6" s="3">
        <f t="shared" si="1"/>
        <v>-5.111485199999998</v>
      </c>
      <c r="J6" s="3">
        <f t="shared" si="2"/>
        <v>-1.7038283999999992</v>
      </c>
      <c r="K6" s="18">
        <f t="shared" si="3"/>
        <v>-2.1297854999999992</v>
      </c>
    </row>
    <row r="7" spans="1:11" ht="21" customHeight="1" x14ac:dyDescent="0.2">
      <c r="A7" s="10">
        <v>5</v>
      </c>
      <c r="B7" s="21">
        <f>B6-I6</f>
        <v>8.0414931999999979</v>
      </c>
      <c r="C7" s="21">
        <f>C6-J6</f>
        <v>2.9471644000000001</v>
      </c>
      <c r="D7" s="21">
        <f>D6-K6</f>
        <v>3.5839555000000001</v>
      </c>
      <c r="E7" s="3">
        <f t="shared" si="0"/>
        <v>126.20635349999998</v>
      </c>
      <c r="F7" s="3">
        <f t="shared" si="4"/>
        <v>126.20635349999998</v>
      </c>
      <c r="G7" s="16">
        <f>E7-exam_result</f>
        <v>36.206353499999977</v>
      </c>
      <c r="H7" s="3">
        <f t="shared" si="5"/>
        <v>1310.9000337669606</v>
      </c>
      <c r="I7" s="3">
        <f t="shared" si="1"/>
        <v>4.3447624199999977</v>
      </c>
      <c r="J7" s="3">
        <f t="shared" si="2"/>
        <v>1.4482541399999991</v>
      </c>
      <c r="K7" s="18">
        <f t="shared" si="3"/>
        <v>1.810317674999999</v>
      </c>
    </row>
    <row r="8" spans="1:11" ht="21" customHeight="1" x14ac:dyDescent="0.2">
      <c r="A8" s="10">
        <v>6</v>
      </c>
      <c r="B8" s="21">
        <f>B7-I7</f>
        <v>3.6967307800000002</v>
      </c>
      <c r="C8" s="21">
        <f>C7-J7</f>
        <v>1.498910260000001</v>
      </c>
      <c r="D8" s="21">
        <f>D7-K7</f>
        <v>1.7736378250000011</v>
      </c>
      <c r="E8" s="3">
        <f t="shared" si="0"/>
        <v>59.224599525000016</v>
      </c>
      <c r="F8" s="3">
        <f t="shared" si="4"/>
        <v>59.224599525000016</v>
      </c>
      <c r="G8" s="16">
        <f>E8-exam_result</f>
        <v>-30.775400474999984</v>
      </c>
      <c r="H8" s="3">
        <f t="shared" si="5"/>
        <v>947.12527439662927</v>
      </c>
      <c r="I8" s="3">
        <f t="shared" si="1"/>
        <v>-3.6930480569999982</v>
      </c>
      <c r="J8" s="3">
        <f t="shared" si="2"/>
        <v>-1.2310160189999995</v>
      </c>
      <c r="K8" s="18">
        <f t="shared" si="3"/>
        <v>-1.538770023749999</v>
      </c>
    </row>
    <row r="9" spans="1:11" ht="21" customHeight="1" x14ac:dyDescent="0.2">
      <c r="A9" s="10">
        <v>7</v>
      </c>
      <c r="B9" s="21">
        <f>B8-I8</f>
        <v>7.3897788369999979</v>
      </c>
      <c r="C9" s="21">
        <f>C8-J8</f>
        <v>2.7299262790000007</v>
      </c>
      <c r="D9" s="21">
        <f>D8-K8</f>
        <v>3.3124078487500004</v>
      </c>
      <c r="E9" s="3">
        <f t="shared" si="0"/>
        <v>116.15909040374999</v>
      </c>
      <c r="F9" s="3">
        <f t="shared" si="4"/>
        <v>116.15909040374999</v>
      </c>
      <c r="G9" s="16">
        <f>E9-exam_result</f>
        <v>26.159090403749985</v>
      </c>
      <c r="H9" s="3">
        <f t="shared" si="5"/>
        <v>684.29801075156456</v>
      </c>
      <c r="I9" s="3">
        <f t="shared" si="1"/>
        <v>3.1390908484499982</v>
      </c>
      <c r="J9" s="3">
        <f t="shared" si="2"/>
        <v>1.0463636161499994</v>
      </c>
      <c r="K9" s="18">
        <f t="shared" si="3"/>
        <v>1.3079545201874994</v>
      </c>
    </row>
    <row r="10" spans="1:11" ht="21" customHeight="1" x14ac:dyDescent="0.2">
      <c r="A10" s="10">
        <v>8</v>
      </c>
      <c r="B10" s="21">
        <f>B9-I9</f>
        <v>4.2506879885500002</v>
      </c>
      <c r="C10" s="21">
        <f>C9-J9</f>
        <v>1.6835626628500013</v>
      </c>
      <c r="D10" s="21">
        <f>D9-K9</f>
        <v>2.004453328562501</v>
      </c>
      <c r="E10" s="3">
        <f t="shared" si="0"/>
        <v>67.76477315681251</v>
      </c>
      <c r="F10" s="3">
        <f t="shared" si="4"/>
        <v>67.76477315681251</v>
      </c>
      <c r="G10" s="16">
        <f>E10-exam_result</f>
        <v>-22.23522684318749</v>
      </c>
      <c r="H10" s="3">
        <f t="shared" si="5"/>
        <v>494.40531276800556</v>
      </c>
      <c r="I10" s="3">
        <f t="shared" si="1"/>
        <v>-2.6682272211824989</v>
      </c>
      <c r="J10" s="3">
        <f t="shared" si="2"/>
        <v>-0.88940907372749967</v>
      </c>
      <c r="K10" s="18">
        <f t="shared" si="3"/>
        <v>-1.1117613421593746</v>
      </c>
    </row>
    <row r="11" spans="1:11" ht="21" customHeight="1" x14ac:dyDescent="0.2">
      <c r="A11" s="10">
        <v>9</v>
      </c>
      <c r="B11" s="21">
        <f>B10-I10</f>
        <v>6.9189152097324991</v>
      </c>
      <c r="C11" s="21">
        <f>C10-J10</f>
        <v>2.5729717365775011</v>
      </c>
      <c r="D11" s="21">
        <f>D10-K10</f>
        <v>3.1162146707218756</v>
      </c>
      <c r="E11" s="3">
        <f t="shared" si="0"/>
        <v>108.89994281670937</v>
      </c>
      <c r="F11" s="3">
        <f t="shared" si="4"/>
        <v>108.89994281670937</v>
      </c>
      <c r="G11" s="16">
        <f>E11-exam_result</f>
        <v>18.89994281670937</v>
      </c>
      <c r="H11" s="3">
        <f t="shared" si="5"/>
        <v>357.20783847488411</v>
      </c>
      <c r="I11" s="3">
        <f t="shared" si="1"/>
        <v>2.2679931380051244</v>
      </c>
      <c r="J11" s="3">
        <f t="shared" si="2"/>
        <v>0.75599771266837479</v>
      </c>
      <c r="K11" s="18">
        <f t="shared" si="3"/>
        <v>0.94499714083546849</v>
      </c>
    </row>
    <row r="12" spans="1:11" ht="21" customHeight="1" x14ac:dyDescent="0.2">
      <c r="A12" s="10">
        <v>10</v>
      </c>
      <c r="B12" s="21">
        <f>B11-I11</f>
        <v>4.6509220717273747</v>
      </c>
      <c r="C12" s="21">
        <f>C11-J11</f>
        <v>1.8169740239091263</v>
      </c>
      <c r="D12" s="21">
        <f>D11-K11</f>
        <v>2.1712175298864071</v>
      </c>
      <c r="E12" s="3">
        <f t="shared" si="0"/>
        <v>73.935048605797036</v>
      </c>
      <c r="F12" s="3">
        <f t="shared" si="4"/>
        <v>73.935048605797036</v>
      </c>
      <c r="G12" s="16">
        <f>E12-exam_result</f>
        <v>-16.064951394202964</v>
      </c>
      <c r="H12" s="3">
        <f t="shared" si="5"/>
        <v>258.08266329810374</v>
      </c>
      <c r="I12" s="3">
        <f t="shared" si="1"/>
        <v>-1.9277941673043557</v>
      </c>
      <c r="J12" s="3">
        <f t="shared" si="2"/>
        <v>-0.64259805576811857</v>
      </c>
      <c r="K12" s="18">
        <f t="shared" si="3"/>
        <v>-0.80324756971014821</v>
      </c>
    </row>
    <row r="13" spans="1:11" ht="21" customHeight="1" x14ac:dyDescent="0.2">
      <c r="A13" s="10">
        <v>11</v>
      </c>
      <c r="B13" s="21">
        <f>B12-I12</f>
        <v>6.5787162390317304</v>
      </c>
      <c r="C13" s="21">
        <f>C12-J12</f>
        <v>2.4595720796772449</v>
      </c>
      <c r="D13" s="21">
        <f>D12-K12</f>
        <v>2.9744650995965554</v>
      </c>
      <c r="E13" s="3">
        <f t="shared" si="0"/>
        <v>103.65520868507251</v>
      </c>
      <c r="F13" s="3">
        <f t="shared" si="4"/>
        <v>103.65520868507251</v>
      </c>
      <c r="G13" s="16">
        <f>E13-exam_result</f>
        <v>13.655208685072509</v>
      </c>
      <c r="H13" s="3">
        <f t="shared" si="5"/>
        <v>186.46472423287969</v>
      </c>
      <c r="I13" s="3">
        <f t="shared" si="1"/>
        <v>1.6386250422087012</v>
      </c>
      <c r="J13" s="3">
        <f t="shared" si="2"/>
        <v>0.54620834740290036</v>
      </c>
      <c r="K13" s="18">
        <f t="shared" si="3"/>
        <v>0.68276043425362543</v>
      </c>
    </row>
    <row r="14" spans="1:11" ht="21" customHeight="1" x14ac:dyDescent="0.2">
      <c r="A14" s="10">
        <v>12</v>
      </c>
      <c r="B14" s="21">
        <f>B13-I13</f>
        <v>4.9400911968230297</v>
      </c>
      <c r="C14" s="21">
        <f>C13-J13</f>
        <v>1.9133637322743446</v>
      </c>
      <c r="D14" s="21">
        <f>D13-K13</f>
        <v>2.2917046653429298</v>
      </c>
      <c r="E14" s="3">
        <f t="shared" si="0"/>
        <v>78.393072617688389</v>
      </c>
      <c r="F14" s="3">
        <f t="shared" si="4"/>
        <v>78.393072617688389</v>
      </c>
      <c r="G14" s="16">
        <f>E14-exam_result</f>
        <v>-11.606927382311611</v>
      </c>
      <c r="H14" s="3">
        <f t="shared" si="5"/>
        <v>134.72076325825506</v>
      </c>
      <c r="I14" s="3">
        <f t="shared" si="1"/>
        <v>-1.3928312858773932</v>
      </c>
      <c r="J14" s="3">
        <f t="shared" si="2"/>
        <v>-0.46427709529246441</v>
      </c>
      <c r="K14" s="18">
        <f t="shared" si="3"/>
        <v>-0.58034636911558057</v>
      </c>
    </row>
    <row r="15" spans="1:11" ht="21" customHeight="1" x14ac:dyDescent="0.2">
      <c r="A15" s="10">
        <v>13</v>
      </c>
      <c r="B15" s="21">
        <f>B14-I14</f>
        <v>6.3329224827004227</v>
      </c>
      <c r="C15" s="21">
        <f>C14-J14</f>
        <v>2.3776408275668093</v>
      </c>
      <c r="D15" s="21">
        <f>D14-K14</f>
        <v>2.8720510344585106</v>
      </c>
      <c r="E15" s="3">
        <f t="shared" si="0"/>
        <v>99.86588827496486</v>
      </c>
      <c r="F15" s="3">
        <f t="shared" si="4"/>
        <v>99.86588827496486</v>
      </c>
      <c r="G15" s="16">
        <f>E15-exam_result</f>
        <v>9.8658882749648598</v>
      </c>
      <c r="H15" s="3">
        <f t="shared" si="5"/>
        <v>97.335751454089092</v>
      </c>
      <c r="I15" s="3">
        <f t="shared" si="1"/>
        <v>1.1839065929957833</v>
      </c>
      <c r="J15" s="3">
        <f t="shared" si="2"/>
        <v>0.39463553099859439</v>
      </c>
      <c r="K15" s="18">
        <f t="shared" si="3"/>
        <v>0.49329441374824301</v>
      </c>
    </row>
    <row r="16" spans="1:11" ht="21" customHeight="1" x14ac:dyDescent="0.2">
      <c r="A16" s="10">
        <v>14</v>
      </c>
      <c r="B16" s="21">
        <f>B15-I15</f>
        <v>5.1490158897046392</v>
      </c>
      <c r="C16" s="21">
        <f>C15-J15</f>
        <v>1.9830052965682148</v>
      </c>
      <c r="D16" s="21">
        <f>D15-K15</f>
        <v>2.3787566207102677</v>
      </c>
      <c r="E16" s="3">
        <f t="shared" si="0"/>
        <v>81.613994966279876</v>
      </c>
      <c r="F16" s="3">
        <f t="shared" si="4"/>
        <v>81.613994966279876</v>
      </c>
      <c r="G16" s="16">
        <f>E16-exam_result</f>
        <v>-8.3860050337201244</v>
      </c>
      <c r="H16" s="3">
        <f t="shared" si="5"/>
        <v>70.325080425579259</v>
      </c>
      <c r="I16" s="3">
        <f t="shared" si="1"/>
        <v>-1.006320604046415</v>
      </c>
      <c r="J16" s="3">
        <f t="shared" si="2"/>
        <v>-0.33544020134880498</v>
      </c>
      <c r="K16" s="18">
        <f t="shared" si="3"/>
        <v>-0.41930025168600621</v>
      </c>
    </row>
    <row r="17" spans="1:11" ht="21" customHeight="1" x14ac:dyDescent="0.2">
      <c r="A17" s="10">
        <v>15</v>
      </c>
      <c r="B17" s="21">
        <f>B16-I16</f>
        <v>6.1553364937510544</v>
      </c>
      <c r="C17" s="21">
        <f>C16-J16</f>
        <v>2.3184454979170197</v>
      </c>
      <c r="D17" s="21">
        <f>D16-K16</f>
        <v>2.7980568723962738</v>
      </c>
      <c r="E17" s="3">
        <f t="shared" si="0"/>
        <v>97.128104278662093</v>
      </c>
      <c r="F17" s="3">
        <f t="shared" si="4"/>
        <v>97.128104278662093</v>
      </c>
      <c r="G17" s="16">
        <f>E17-exam_result</f>
        <v>7.128104278662093</v>
      </c>
      <c r="H17" s="3">
        <f t="shared" si="5"/>
        <v>50.809870607480839</v>
      </c>
      <c r="I17" s="3">
        <f t="shared" si="1"/>
        <v>0.8553725134394512</v>
      </c>
      <c r="J17" s="3">
        <f t="shared" si="2"/>
        <v>0.28512417114648375</v>
      </c>
      <c r="K17" s="18">
        <f t="shared" si="3"/>
        <v>0.35640521393310465</v>
      </c>
    </row>
    <row r="18" spans="1:11" ht="21" customHeight="1" x14ac:dyDescent="0.2">
      <c r="A18" s="10">
        <v>16</v>
      </c>
      <c r="B18" s="21">
        <f>B17-I17</f>
        <v>5.2999639803116034</v>
      </c>
      <c r="C18" s="21">
        <f>C17-J17</f>
        <v>2.0333213267705359</v>
      </c>
      <c r="D18" s="21">
        <f>D17-K17</f>
        <v>2.4416516584631691</v>
      </c>
      <c r="E18" s="3">
        <f t="shared" si="0"/>
        <v>83.941111363137239</v>
      </c>
      <c r="F18" s="3">
        <f t="shared" si="4"/>
        <v>83.941111363137239</v>
      </c>
      <c r="G18" s="16">
        <f>E18-exam_result</f>
        <v>-6.0588886368627612</v>
      </c>
      <c r="H18" s="3">
        <f t="shared" si="5"/>
        <v>36.710131513904692</v>
      </c>
      <c r="I18" s="3">
        <f t="shared" si="1"/>
        <v>-0.72706663642353131</v>
      </c>
      <c r="J18" s="3">
        <f t="shared" si="2"/>
        <v>-0.24235554547451046</v>
      </c>
      <c r="K18" s="18">
        <f t="shared" si="3"/>
        <v>-0.30294443184313807</v>
      </c>
    </row>
    <row r="19" spans="1:11" ht="21" customHeight="1" x14ac:dyDescent="0.2">
      <c r="A19" s="10">
        <v>17</v>
      </c>
      <c r="B19" s="21">
        <f>B18-I18</f>
        <v>6.0270306167351348</v>
      </c>
      <c r="C19" s="21">
        <f>C18-J18</f>
        <v>2.2756768722450462</v>
      </c>
      <c r="D19" s="21">
        <f>D18-K18</f>
        <v>2.7445960903063074</v>
      </c>
      <c r="E19" s="3">
        <f t="shared" si="0"/>
        <v>95.150055341333342</v>
      </c>
      <c r="F19" s="3">
        <f t="shared" si="4"/>
        <v>95.150055341333342</v>
      </c>
      <c r="G19" s="16">
        <f>E19-exam_result</f>
        <v>5.1500553413333421</v>
      </c>
      <c r="H19" s="3">
        <f t="shared" si="5"/>
        <v>26.523070018796087</v>
      </c>
      <c r="I19" s="3">
        <f t="shared" si="1"/>
        <v>0.61800664096000102</v>
      </c>
      <c r="J19" s="3">
        <f t="shared" si="2"/>
        <v>0.20600221365333368</v>
      </c>
      <c r="K19" s="18">
        <f t="shared" si="3"/>
        <v>0.25750276706666708</v>
      </c>
    </row>
    <row r="20" spans="1:11" ht="21" customHeight="1" x14ac:dyDescent="0.2">
      <c r="A20" s="10">
        <v>18</v>
      </c>
      <c r="B20" s="21">
        <f>B19-I19</f>
        <v>5.4090239757751339</v>
      </c>
      <c r="C20" s="21">
        <f>C19-J19</f>
        <v>2.0696746585917127</v>
      </c>
      <c r="D20" s="21">
        <f>D19-K19</f>
        <v>2.4870933232396402</v>
      </c>
      <c r="E20" s="3">
        <f t="shared" si="0"/>
        <v>85.622452959866649</v>
      </c>
      <c r="F20" s="3">
        <f t="shared" si="4"/>
        <v>85.622452959866649</v>
      </c>
      <c r="G20" s="16">
        <f>E20-exam_result</f>
        <v>-4.3775470401333507</v>
      </c>
      <c r="H20" s="3">
        <f t="shared" si="5"/>
        <v>19.162918088580259</v>
      </c>
      <c r="I20" s="3">
        <f t="shared" si="1"/>
        <v>-0.52530564481600206</v>
      </c>
      <c r="J20" s="3">
        <f t="shared" si="2"/>
        <v>-0.17510188160533402</v>
      </c>
      <c r="K20" s="18">
        <f t="shared" si="3"/>
        <v>-0.21887735200666755</v>
      </c>
    </row>
    <row r="21" spans="1:11" ht="21" customHeight="1" x14ac:dyDescent="0.2">
      <c r="A21" s="10">
        <v>19</v>
      </c>
      <c r="B21" s="21">
        <f>B20-I20</f>
        <v>5.9343296205911358</v>
      </c>
      <c r="C21" s="21">
        <f>C20-J20</f>
        <v>2.244776540197047</v>
      </c>
      <c r="D21" s="21">
        <f>D20-K20</f>
        <v>2.7059706752463075</v>
      </c>
      <c r="E21" s="3">
        <f t="shared" si="0"/>
        <v>93.720914984113364</v>
      </c>
      <c r="F21" s="3">
        <f t="shared" si="4"/>
        <v>93.720914984113364</v>
      </c>
      <c r="G21" s="16">
        <f>E21-exam_result</f>
        <v>3.7209149841133637</v>
      </c>
      <c r="H21" s="3">
        <f t="shared" si="5"/>
        <v>13.845208318999354</v>
      </c>
      <c r="I21" s="3">
        <f t="shared" si="1"/>
        <v>0.44650979809360364</v>
      </c>
      <c r="J21" s="3">
        <f t="shared" si="2"/>
        <v>0.14883659936453456</v>
      </c>
      <c r="K21" s="18">
        <f t="shared" si="3"/>
        <v>0.18604574920566819</v>
      </c>
    </row>
    <row r="22" spans="1:11" ht="21" customHeight="1" x14ac:dyDescent="0.2">
      <c r="A22" s="10">
        <v>20</v>
      </c>
      <c r="B22" s="21">
        <f>B21-I21</f>
        <v>5.4878198224975323</v>
      </c>
      <c r="C22" s="21">
        <f>C21-J21</f>
        <v>2.0959399408325123</v>
      </c>
      <c r="D22" s="21">
        <f>D21-K21</f>
        <v>2.5199249260406393</v>
      </c>
      <c r="E22" s="3">
        <f t="shared" si="0"/>
        <v>86.837222263503634</v>
      </c>
      <c r="F22" s="3">
        <f t="shared" si="4"/>
        <v>86.837222263503634</v>
      </c>
      <c r="G22" s="16">
        <f>E22-exam_result</f>
        <v>-3.1627777364963663</v>
      </c>
      <c r="H22" s="3">
        <f t="shared" si="5"/>
        <v>10.003163010477078</v>
      </c>
      <c r="I22" s="3">
        <f t="shared" si="1"/>
        <v>-0.37953332837956394</v>
      </c>
      <c r="J22" s="3">
        <f t="shared" si="2"/>
        <v>-0.12651110945985466</v>
      </c>
      <c r="K22" s="18">
        <f t="shared" si="3"/>
        <v>-0.15813888682481833</v>
      </c>
    </row>
    <row r="23" spans="1:11" ht="21" customHeight="1" x14ac:dyDescent="0.2">
      <c r="A23" s="10">
        <v>21</v>
      </c>
      <c r="B23" s="21">
        <f>B22-I22</f>
        <v>5.8673531508770962</v>
      </c>
      <c r="C23" s="21">
        <f>C22-J22</f>
        <v>2.2224510502923671</v>
      </c>
      <c r="D23" s="21">
        <f>D22-K22</f>
        <v>2.6780638128654575</v>
      </c>
      <c r="E23" s="3">
        <f t="shared" si="0"/>
        <v>92.688361076021906</v>
      </c>
      <c r="F23" s="3">
        <f t="shared" si="4"/>
        <v>92.688361076021906</v>
      </c>
      <c r="G23" s="16">
        <f>E23-exam_result</f>
        <v>2.6883610760219057</v>
      </c>
      <c r="H23" s="3">
        <f t="shared" si="5"/>
        <v>7.2272852750696588</v>
      </c>
      <c r="I23" s="3">
        <f t="shared" si="1"/>
        <v>0.32260332912262868</v>
      </c>
      <c r="J23" s="3">
        <f t="shared" si="2"/>
        <v>0.10753444304087623</v>
      </c>
      <c r="K23" s="18">
        <f t="shared" si="3"/>
        <v>0.13441805380109528</v>
      </c>
    </row>
    <row r="24" spans="1:11" ht="21" customHeight="1" x14ac:dyDescent="0.2">
      <c r="A24" s="10">
        <v>22</v>
      </c>
      <c r="B24" s="21">
        <f>B23-I23</f>
        <v>5.5447498217544675</v>
      </c>
      <c r="C24" s="21">
        <f>C23-J23</f>
        <v>2.1149166072514909</v>
      </c>
      <c r="D24" s="21">
        <f>D23-K23</f>
        <v>2.5436457590643622</v>
      </c>
      <c r="E24" s="3">
        <f t="shared" si="0"/>
        <v>87.714893085381377</v>
      </c>
      <c r="F24" s="3">
        <f t="shared" si="4"/>
        <v>87.714893085381377</v>
      </c>
      <c r="G24" s="16">
        <f>E24-exam_result</f>
        <v>-2.2851069146186234</v>
      </c>
      <c r="H24" s="3">
        <f t="shared" si="5"/>
        <v>5.2217136112378446</v>
      </c>
      <c r="I24" s="3">
        <f t="shared" si="1"/>
        <v>-0.27421282975423483</v>
      </c>
      <c r="J24" s="3">
        <f t="shared" si="2"/>
        <v>-9.140427658474494E-2</v>
      </c>
      <c r="K24" s="18">
        <f t="shared" si="3"/>
        <v>-0.11425534573093117</v>
      </c>
    </row>
    <row r="25" spans="1:11" ht="21" customHeight="1" x14ac:dyDescent="0.2">
      <c r="A25" s="10">
        <v>23</v>
      </c>
      <c r="B25" s="21">
        <f>B24-I24</f>
        <v>5.8189626515087021</v>
      </c>
      <c r="C25" s="21">
        <f>C24-J24</f>
        <v>2.206320883836236</v>
      </c>
      <c r="D25" s="21">
        <f>D24-K24</f>
        <v>2.6579011047952932</v>
      </c>
      <c r="E25" s="3">
        <f t="shared" si="0"/>
        <v>91.942340877425835</v>
      </c>
      <c r="F25" s="3">
        <f t="shared" si="4"/>
        <v>91.942340877425835</v>
      </c>
      <c r="G25" s="16">
        <f>E25-exam_result</f>
        <v>1.9423408774258348</v>
      </c>
      <c r="H25" s="3">
        <f t="shared" si="5"/>
        <v>3.7726880841193617</v>
      </c>
      <c r="I25" s="3">
        <f t="shared" si="1"/>
        <v>0.23308090529110018</v>
      </c>
      <c r="J25" s="3">
        <f t="shared" si="2"/>
        <v>7.7693635097033392E-2</v>
      </c>
      <c r="K25" s="18">
        <f t="shared" si="3"/>
        <v>9.7117043871291747E-2</v>
      </c>
    </row>
    <row r="26" spans="1:11" ht="21" customHeight="1" x14ac:dyDescent="0.2">
      <c r="A26" s="10">
        <v>24</v>
      </c>
      <c r="B26" s="21">
        <f>B25-I25</f>
        <v>5.585881746217602</v>
      </c>
      <c r="C26" s="21">
        <f>C25-J25</f>
        <v>2.1286272487392028</v>
      </c>
      <c r="D26" s="21">
        <f>D25-K25</f>
        <v>2.5607840609240013</v>
      </c>
      <c r="E26" s="3">
        <f t="shared" si="0"/>
        <v>88.349010254188045</v>
      </c>
      <c r="F26" s="3">
        <f t="shared" si="4"/>
        <v>88.349010254188045</v>
      </c>
      <c r="G26" s="16">
        <f>E26-exam_result</f>
        <v>-1.6509897458119553</v>
      </c>
      <c r="H26" s="3">
        <f t="shared" si="5"/>
        <v>2.7257671407762247</v>
      </c>
      <c r="I26" s="3">
        <f t="shared" si="1"/>
        <v>-0.19811876949743465</v>
      </c>
      <c r="J26" s="3">
        <f t="shared" si="2"/>
        <v>-6.6039589832478221E-2</v>
      </c>
      <c r="K26" s="18">
        <f t="shared" si="3"/>
        <v>-8.2549487290597773E-2</v>
      </c>
    </row>
    <row r="27" spans="1:11" ht="21" customHeight="1" x14ac:dyDescent="0.2">
      <c r="A27" s="10">
        <v>25</v>
      </c>
      <c r="B27" s="21">
        <f>B26-I26</f>
        <v>5.7840005157150367</v>
      </c>
      <c r="C27" s="21">
        <f>C26-J26</f>
        <v>2.1946668385716812</v>
      </c>
      <c r="D27" s="21">
        <f>D26-K26</f>
        <v>2.6433335482145992</v>
      </c>
      <c r="E27" s="3">
        <f t="shared" si="0"/>
        <v>91.403341283940165</v>
      </c>
      <c r="F27" s="3">
        <f t="shared" si="4"/>
        <v>91.403341283940165</v>
      </c>
      <c r="G27" s="16">
        <f>E27-exam_result</f>
        <v>1.4033412839401649</v>
      </c>
      <c r="H27" s="3">
        <f t="shared" si="5"/>
        <v>1.9693667592108304</v>
      </c>
      <c r="I27" s="3">
        <f t="shared" si="1"/>
        <v>0.1684009540728198</v>
      </c>
      <c r="J27" s="3">
        <f t="shared" si="2"/>
        <v>5.6133651357606597E-2</v>
      </c>
      <c r="K27" s="18">
        <f t="shared" si="3"/>
        <v>7.0167064197008244E-2</v>
      </c>
    </row>
    <row r="28" spans="1:11" ht="21" customHeight="1" x14ac:dyDescent="0.2">
      <c r="A28" s="10">
        <v>26</v>
      </c>
      <c r="B28" s="21">
        <f>B27-I27</f>
        <v>5.6155995616422167</v>
      </c>
      <c r="C28" s="21">
        <f>C27-J27</f>
        <v>2.1385331872140747</v>
      </c>
      <c r="D28" s="21">
        <f>D27-K27</f>
        <v>2.573166484017591</v>
      </c>
      <c r="E28" s="3">
        <f t="shared" si="0"/>
        <v>88.80715990865086</v>
      </c>
      <c r="F28" s="3">
        <f t="shared" si="4"/>
        <v>88.80715990865086</v>
      </c>
      <c r="G28" s="16">
        <f>E28-exam_result</f>
        <v>-1.1928400913491402</v>
      </c>
      <c r="H28" s="3">
        <f t="shared" si="5"/>
        <v>1.422867483529825</v>
      </c>
      <c r="I28" s="3">
        <f t="shared" si="1"/>
        <v>-0.14314081096189682</v>
      </c>
      <c r="J28" s="3">
        <f t="shared" si="2"/>
        <v>-4.7713603653965604E-2</v>
      </c>
      <c r="K28" s="18">
        <f t="shared" si="3"/>
        <v>-5.964200456745701E-2</v>
      </c>
    </row>
    <row r="29" spans="1:11" ht="21" customHeight="1" x14ac:dyDescent="0.2">
      <c r="A29" s="10">
        <v>27</v>
      </c>
      <c r="B29" s="21">
        <f>B28-I28</f>
        <v>5.7587403726041133</v>
      </c>
      <c r="C29" s="21">
        <f>C28-J28</f>
        <v>2.1862467908680405</v>
      </c>
      <c r="D29" s="21">
        <f>D28-K28</f>
        <v>2.6328084885850478</v>
      </c>
      <c r="E29" s="3">
        <f t="shared" si="0"/>
        <v>91.01391407764676</v>
      </c>
      <c r="F29" s="3">
        <f t="shared" si="4"/>
        <v>91.01391407764676</v>
      </c>
      <c r="G29" s="16">
        <f>E29-exam_result</f>
        <v>1.0139140776467599</v>
      </c>
      <c r="H29" s="3">
        <f t="shared" si="5"/>
        <v>1.0280217568502799</v>
      </c>
      <c r="I29" s="3">
        <f t="shared" si="1"/>
        <v>0.12166968931761118</v>
      </c>
      <c r="J29" s="3">
        <f t="shared" si="2"/>
        <v>4.05565631058704E-2</v>
      </c>
      <c r="K29" s="18">
        <f t="shared" si="3"/>
        <v>5.0695703882337996E-2</v>
      </c>
    </row>
    <row r="30" spans="1:11" ht="21" customHeight="1" x14ac:dyDescent="0.2">
      <c r="A30" s="10">
        <v>28</v>
      </c>
      <c r="B30" s="21">
        <f>B29-I29</f>
        <v>5.6370706832865025</v>
      </c>
      <c r="C30" s="21">
        <f>C29-J29</f>
        <v>2.1456902277621701</v>
      </c>
      <c r="D30" s="21">
        <f>D29-K29</f>
        <v>2.5821127847027099</v>
      </c>
      <c r="E30" s="3">
        <f t="shared" si="0"/>
        <v>89.13817303400026</v>
      </c>
      <c r="F30" s="3">
        <f t="shared" si="4"/>
        <v>89.13817303400026</v>
      </c>
      <c r="G30" s="16">
        <f>E30-exam_result</f>
        <v>-0.86182696599973951</v>
      </c>
      <c r="H30" s="3">
        <f t="shared" si="5"/>
        <v>0.74274571932431621</v>
      </c>
      <c r="I30" s="3">
        <f t="shared" si="1"/>
        <v>-0.10341923591996874</v>
      </c>
      <c r="J30" s="3">
        <f t="shared" si="2"/>
        <v>-3.4473078639989579E-2</v>
      </c>
      <c r="K30" s="18">
        <f t="shared" si="3"/>
        <v>-4.3091348299986974E-2</v>
      </c>
    </row>
    <row r="31" spans="1:11" ht="21" customHeight="1" x14ac:dyDescent="0.2">
      <c r="A31" s="10">
        <v>29</v>
      </c>
      <c r="B31" s="21">
        <f>B30-I30</f>
        <v>5.7404899192064711</v>
      </c>
      <c r="C31" s="21">
        <f>C30-J30</f>
        <v>2.1801633064021595</v>
      </c>
      <c r="D31" s="21">
        <f>D30-K30</f>
        <v>2.6252041330026969</v>
      </c>
      <c r="E31" s="3">
        <f t="shared" si="0"/>
        <v>90.732552921099781</v>
      </c>
      <c r="F31" s="3">
        <f t="shared" si="4"/>
        <v>90.732552921099781</v>
      </c>
      <c r="G31" s="16">
        <f>E31-exam_result</f>
        <v>0.73255292109978143</v>
      </c>
      <c r="H31" s="3">
        <f t="shared" si="5"/>
        <v>0.53663378221182256</v>
      </c>
      <c r="I31" s="3">
        <f t="shared" si="1"/>
        <v>8.7906350531973779E-2</v>
      </c>
      <c r="J31" s="3">
        <f t="shared" si="2"/>
        <v>2.9302116843991258E-2</v>
      </c>
      <c r="K31" s="18">
        <f t="shared" si="3"/>
        <v>3.6627646054989076E-2</v>
      </c>
    </row>
    <row r="32" spans="1:11" ht="21" customHeight="1" thickBot="1" x14ac:dyDescent="0.25">
      <c r="A32" s="12">
        <v>30</v>
      </c>
      <c r="B32" s="22">
        <f>B31-I31</f>
        <v>5.6525835686744976</v>
      </c>
      <c r="C32" s="22">
        <f>C31-J31</f>
        <v>2.1508611895581682</v>
      </c>
      <c r="D32" s="22">
        <f>D31-K31</f>
        <v>2.5885764869477077</v>
      </c>
      <c r="E32" s="19">
        <f t="shared" si="0"/>
        <v>89.377330017065177</v>
      </c>
      <c r="F32" s="19">
        <f t="shared" si="4"/>
        <v>89.377330017065177</v>
      </c>
      <c r="G32" s="16">
        <f>E32-exam_result</f>
        <v>-0.62266998293482345</v>
      </c>
      <c r="H32" s="19">
        <f t="shared" si="5"/>
        <v>0.38771790764805331</v>
      </c>
      <c r="I32" s="19">
        <f t="shared" si="1"/>
        <v>-7.4720397952178816E-2</v>
      </c>
      <c r="J32" s="19">
        <f t="shared" si="2"/>
        <v>-2.4906799317392939E-2</v>
      </c>
      <c r="K32" s="20">
        <f t="shared" si="3"/>
        <v>-3.1133499146741173E-2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5</vt:i4>
      </vt:variant>
    </vt:vector>
  </HeadingPairs>
  <TitlesOfParts>
    <vt:vector size="7" baseType="lpstr">
      <vt:lpstr>Data</vt:lpstr>
      <vt:lpstr>Training</vt:lpstr>
      <vt:lpstr>coffee_count</vt:lpstr>
      <vt:lpstr>exam_result</vt:lpstr>
      <vt:lpstr>learn_hours</vt:lpstr>
      <vt:lpstr>learning_rate</vt:lpstr>
      <vt:lpstr>sleep_hours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Kohlegger</dc:creator>
  <cp:lastModifiedBy>Michael Kohlegger</cp:lastModifiedBy>
  <dcterms:created xsi:type="dcterms:W3CDTF">2026-06-25T13:54:36Z</dcterms:created>
  <dcterms:modified xsi:type="dcterms:W3CDTF">2026-06-26T06:42:09Z</dcterms:modified>
</cp:coreProperties>
</file>